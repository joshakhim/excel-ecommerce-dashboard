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5"/>
  <workbookPr hidePivotFieldList="1" defaultThemeVersion="124226"/>
  <mc:AlternateContent xmlns:mc="http://schemas.openxmlformats.org/markup-compatibility/2006">
    <mc:Choice Requires="x15">
      <x15ac:absPath xmlns:x15ac="http://schemas.microsoft.com/office/spreadsheetml/2010/11/ac" url="C:\Users\REAL TIME\Downloads\"/>
    </mc:Choice>
  </mc:AlternateContent>
  <xr:revisionPtr revIDLastSave="0" documentId="13_ncr:1_{1650ECA7-B613-435E-9D11-666CAD27D6CD}" xr6:coauthVersionLast="36" xr6:coauthVersionMax="36" xr10:uidLastSave="{00000000-0000-0000-0000-000000000000}"/>
  <bookViews>
    <workbookView xWindow="240" yWindow="15" windowWidth="16095" windowHeight="9660" activeTab="1" xr2:uid="{00000000-000D-0000-FFFF-FFFF00000000}"/>
  </bookViews>
  <sheets>
    <sheet name="Messy data" sheetId="1" r:id="rId1"/>
    <sheet name="Clean Data" sheetId="2" r:id="rId2"/>
    <sheet name="Pivot Table" sheetId="3" r:id="rId3"/>
    <sheet name="Dashboard" sheetId="4" r:id="rId4"/>
  </sheets>
  <definedNames>
    <definedName name="_xlnm._FilterDatabase" localSheetId="1" hidden="1">'Clean Data'!$A$1:$H$20</definedName>
    <definedName name="Slicer_category">#N/A</definedName>
    <definedName name="Slicer_country">#N/A</definedName>
    <definedName name="Slicer_order_date">#N/A</definedName>
    <definedName name="Slicer_product">#N/A</definedName>
  </definedNames>
  <calcPr calcId="191029"/>
  <pivotCaches>
    <pivotCache cacheId="28"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G8" i="2" l="1"/>
  <c r="G16" i="2"/>
  <c r="G18" i="2"/>
  <c r="G10" i="2"/>
  <c r="G5" i="2"/>
  <c r="G3" i="2"/>
  <c r="G13" i="2"/>
  <c r="G7" i="2"/>
  <c r="G11" i="2"/>
  <c r="G15" i="2"/>
  <c r="G6" i="2"/>
  <c r="G2" i="2"/>
  <c r="G4" i="2"/>
  <c r="G20" i="2"/>
  <c r="G9" i="2"/>
  <c r="G17" i="2"/>
  <c r="G12" i="2"/>
  <c r="G14" i="2"/>
  <c r="G19" i="2"/>
</calcChain>
</file>

<file path=xl/sharedStrings.xml><?xml version="1.0" encoding="utf-8"?>
<sst xmlns="http://schemas.openxmlformats.org/spreadsheetml/2006/main" count="1123" uniqueCount="245">
  <si>
    <t>customer_name</t>
  </si>
  <si>
    <t>product</t>
  </si>
  <si>
    <t>category</t>
  </si>
  <si>
    <t>country</t>
  </si>
  <si>
    <t>price</t>
  </si>
  <si>
    <t>quantity</t>
  </si>
  <si>
    <t>order_date</t>
  </si>
  <si>
    <t>Chris Paul</t>
  </si>
  <si>
    <t>Ella Stone</t>
  </si>
  <si>
    <t>Aisha Musa</t>
  </si>
  <si>
    <t>Alex King</t>
  </si>
  <si>
    <t>John Doe</t>
  </si>
  <si>
    <t>Liam Chen</t>
  </si>
  <si>
    <t>Fatima Bello</t>
  </si>
  <si>
    <t>David Brown</t>
  </si>
  <si>
    <t>Jane Smith</t>
  </si>
  <si>
    <t>Maria Lopez</t>
  </si>
  <si>
    <t>Keyboard</t>
  </si>
  <si>
    <t>Headphones</t>
  </si>
  <si>
    <t>Camera</t>
  </si>
  <si>
    <t>Laptop</t>
  </si>
  <si>
    <t>Backpack</t>
  </si>
  <si>
    <t>Speaker</t>
  </si>
  <si>
    <t>Sneakers</t>
  </si>
  <si>
    <t>Watch</t>
  </si>
  <si>
    <t>Smartphone</t>
  </si>
  <si>
    <t>Tablet</t>
  </si>
  <si>
    <t>Electronics</t>
  </si>
  <si>
    <t>Fashion</t>
  </si>
  <si>
    <t>Accessories</t>
  </si>
  <si>
    <t>Canada</t>
  </si>
  <si>
    <t>United States</t>
  </si>
  <si>
    <t>United Kingdom</t>
  </si>
  <si>
    <t>UK</t>
  </si>
  <si>
    <t>USA</t>
  </si>
  <si>
    <t>Nigeria</t>
  </si>
  <si>
    <t>2023/08/21</t>
  </si>
  <si>
    <t>Aug 12, 2023</t>
  </si>
  <si>
    <t>10-03-2023</t>
  </si>
  <si>
    <t>May 20, 2023</t>
  </si>
  <si>
    <t>02-26-2024</t>
  </si>
  <si>
    <t>2022-09-19</t>
  </si>
  <si>
    <t>Mar 05, 2024</t>
  </si>
  <si>
    <t>07-31-2022</t>
  </si>
  <si>
    <t>2023-08-19</t>
  </si>
  <si>
    <t>29/04/2023</t>
  </si>
  <si>
    <t>01-25-2024</t>
  </si>
  <si>
    <t>23/04/2022</t>
  </si>
  <si>
    <t>2022/06/16</t>
  </si>
  <si>
    <t>28/03/2023</t>
  </si>
  <si>
    <t>12/02/2022</t>
  </si>
  <si>
    <t>2024-02-17</t>
  </si>
  <si>
    <t>2022/12/28</t>
  </si>
  <si>
    <t>2023/10/31</t>
  </si>
  <si>
    <t>2023-01-24</t>
  </si>
  <si>
    <t>2022-04-05</t>
  </si>
  <si>
    <t>12-22-2023</t>
  </si>
  <si>
    <t>2022/07/16</t>
  </si>
  <si>
    <t>2023-11-21</t>
  </si>
  <si>
    <t>Nov 04, 2023</t>
  </si>
  <si>
    <t>09-28-2022</t>
  </si>
  <si>
    <t>Feb 06, 2024</t>
  </si>
  <si>
    <t>02-13-2022</t>
  </si>
  <si>
    <t>28/06/2022</t>
  </si>
  <si>
    <t>2023/05/14</t>
  </si>
  <si>
    <t>07-28-2023</t>
  </si>
  <si>
    <t>Feb 26, 2024</t>
  </si>
  <si>
    <t>09-02-2023</t>
  </si>
  <si>
    <t>2024/02/06</t>
  </si>
  <si>
    <t>15/11/2022</t>
  </si>
  <si>
    <t>May 23, 2023</t>
  </si>
  <si>
    <t>2023/07/07</t>
  </si>
  <si>
    <t>2023-12-10</t>
  </si>
  <si>
    <t>27/07/2023</t>
  </si>
  <si>
    <t>Apr 04, 2023</t>
  </si>
  <si>
    <t>2023/02/20</t>
  </si>
  <si>
    <t>28/08/2022</t>
  </si>
  <si>
    <t>Jun 18, 2023</t>
  </si>
  <si>
    <t>10-20-2023</t>
  </si>
  <si>
    <t>Dec 22, 2023</t>
  </si>
  <si>
    <t>2023/03/16</t>
  </si>
  <si>
    <t>06/06/2023</t>
  </si>
  <si>
    <t>31/07/2023</t>
  </si>
  <si>
    <t>Oct 10, 2022</t>
  </si>
  <si>
    <t>2022-06-26</t>
  </si>
  <si>
    <t>Jun 11, 2022</t>
  </si>
  <si>
    <t>02/06/2022</t>
  </si>
  <si>
    <t>07-13-2023</t>
  </si>
  <si>
    <t>06-23-2023</t>
  </si>
  <si>
    <t>2022/11/07</t>
  </si>
  <si>
    <t>2023/04/03</t>
  </si>
  <si>
    <t>10/08/2022</t>
  </si>
  <si>
    <t>08-23-2022</t>
  </si>
  <si>
    <t>04/02/2024</t>
  </si>
  <si>
    <t>2023-01-09</t>
  </si>
  <si>
    <t>2024-01-10</t>
  </si>
  <si>
    <t>02-04-2022</t>
  </si>
  <si>
    <t>2022-04-14</t>
  </si>
  <si>
    <t>27/12/2022</t>
  </si>
  <si>
    <t>12-19-2022</t>
  </si>
  <si>
    <t>2022-03-26</t>
  </si>
  <si>
    <t>15/03/2022</t>
  </si>
  <si>
    <t>2023-09-12</t>
  </si>
  <si>
    <t>2022-10-22</t>
  </si>
  <si>
    <t>2023/06/09</t>
  </si>
  <si>
    <t>Aug 15, 2023</t>
  </si>
  <si>
    <t>2022/12/18</t>
  </si>
  <si>
    <t>2023-03-08</t>
  </si>
  <si>
    <t>18/04/2022</t>
  </si>
  <si>
    <t>20/04/2023</t>
  </si>
  <si>
    <t>Apr 11, 2023</t>
  </si>
  <si>
    <t>May 24, 2022</t>
  </si>
  <si>
    <t>04/01/2023</t>
  </si>
  <si>
    <t>07/01/2022</t>
  </si>
  <si>
    <t>02-14-2024</t>
  </si>
  <si>
    <t>Apr 27, 2022</t>
  </si>
  <si>
    <t>2022/03/12</t>
  </si>
  <si>
    <t>Sep 08, 2023</t>
  </si>
  <si>
    <t>2022-01-04</t>
  </si>
  <si>
    <t>13/12/2022</t>
  </si>
  <si>
    <t>11-20-2023</t>
  </si>
  <si>
    <t>01-11-2023</t>
  </si>
  <si>
    <t>13/06/2023</t>
  </si>
  <si>
    <t>2022-09-09</t>
  </si>
  <si>
    <t>23/02/2022</t>
  </si>
  <si>
    <t>2022/03/26</t>
  </si>
  <si>
    <t>07-20-2022</t>
  </si>
  <si>
    <t>19/11/2023</t>
  </si>
  <si>
    <t>06-13-2022</t>
  </si>
  <si>
    <t>2022-03-12</t>
  </si>
  <si>
    <t>Dec 02, 2022</t>
  </si>
  <si>
    <t>22/04/2022</t>
  </si>
  <si>
    <t>2022-05-13</t>
  </si>
  <si>
    <t>31/03/2023</t>
  </si>
  <si>
    <t>07-01-2022</t>
  </si>
  <si>
    <t>Dec 04, 2023</t>
  </si>
  <si>
    <t>2022-07-10</t>
  </si>
  <si>
    <t>04-12-2023</t>
  </si>
  <si>
    <t>03-17-2022</t>
  </si>
  <si>
    <t>2022-02-02</t>
  </si>
  <si>
    <t>28/12/2022</t>
  </si>
  <si>
    <t>12/09/2022</t>
  </si>
  <si>
    <t>Mar 01, 2023</t>
  </si>
  <si>
    <t>03/04/2022</t>
  </si>
  <si>
    <t>06/07/2023</t>
  </si>
  <si>
    <t>26/08/2022</t>
  </si>
  <si>
    <t>2023-10-29</t>
  </si>
  <si>
    <t>2022/01/28</t>
  </si>
  <si>
    <t>2022/11/09</t>
  </si>
  <si>
    <t>2022-01-09</t>
  </si>
  <si>
    <t>Jul 15, 2022</t>
  </si>
  <si>
    <t>07-31-2023</t>
  </si>
  <si>
    <t>2022-06-05</t>
  </si>
  <si>
    <t>08-16-2023</t>
  </si>
  <si>
    <t>2022-02-22</t>
  </si>
  <si>
    <t>Jul 11, 2023</t>
  </si>
  <si>
    <t>Feb 07, 2023</t>
  </si>
  <si>
    <t>2023/07/12</t>
  </si>
  <si>
    <t>03-07-2024</t>
  </si>
  <si>
    <t>Feb 16, 2022</t>
  </si>
  <si>
    <t>2023-01-30</t>
  </si>
  <si>
    <t>2022/11/08</t>
  </si>
  <si>
    <t>2023-02-22</t>
  </si>
  <si>
    <t>Nov 03, 2022</t>
  </si>
  <si>
    <t>Mar 08, 2023</t>
  </si>
  <si>
    <t>15/02/2022</t>
  </si>
  <si>
    <t>Jan 22, 2023</t>
  </si>
  <si>
    <t>11/09/2023</t>
  </si>
  <si>
    <t>Dec 24, 2022</t>
  </si>
  <si>
    <t>02-02-2023</t>
  </si>
  <si>
    <t>06-20-2022</t>
  </si>
  <si>
    <t>04/02/2022</t>
  </si>
  <si>
    <t>25/07/2022</t>
  </si>
  <si>
    <t>Aug 29, 2023</t>
  </si>
  <si>
    <t>05-18-2023</t>
  </si>
  <si>
    <t>11-15-2023</t>
  </si>
  <si>
    <t>2022/05/05</t>
  </si>
  <si>
    <t>04-28-2023</t>
  </si>
  <si>
    <t>2023/08/08</t>
  </si>
  <si>
    <t>Dec 20, 2022</t>
  </si>
  <si>
    <t>2023-10-07</t>
  </si>
  <si>
    <t>03-24-2022</t>
  </si>
  <si>
    <t>2022-12-27</t>
  </si>
  <si>
    <t>03/12/2023</t>
  </si>
  <si>
    <t>2023-12-15</t>
  </si>
  <si>
    <t>28/11/2022</t>
  </si>
  <si>
    <t>07-07-2022</t>
  </si>
  <si>
    <t>2022-08-15</t>
  </si>
  <si>
    <t>Jun 04, 2022</t>
  </si>
  <si>
    <t>2022/10/01</t>
  </si>
  <si>
    <t>11-15-2022</t>
  </si>
  <si>
    <t>28/01/2022</t>
  </si>
  <si>
    <t>2022/04/19</t>
  </si>
  <si>
    <t>Sep 30, 2022</t>
  </si>
  <si>
    <t>2023-12-03</t>
  </si>
  <si>
    <t>2023/09/05</t>
  </si>
  <si>
    <t>2023-02-02</t>
  </si>
  <si>
    <t>12-26-2022</t>
  </si>
  <si>
    <t>2022-08-27</t>
  </si>
  <si>
    <t>01/09/2022</t>
  </si>
  <si>
    <t>2024-01-11</t>
  </si>
  <si>
    <t>2022/08/19</t>
  </si>
  <si>
    <t>06-10-2023</t>
  </si>
  <si>
    <t>2022/07/06</t>
  </si>
  <si>
    <t>17/12/2022</t>
  </si>
  <si>
    <t>Jul 18, 2023</t>
  </si>
  <si>
    <t>09/01/2024</t>
  </si>
  <si>
    <t>2022-04-09</t>
  </si>
  <si>
    <t>2022-12-20</t>
  </si>
  <si>
    <t>11-01-2023</t>
  </si>
  <si>
    <t>11-09-2023</t>
  </si>
  <si>
    <t>Nov 02, 2022</t>
  </si>
  <si>
    <t>28/09/2022</t>
  </si>
  <si>
    <t>2023-06-22</t>
  </si>
  <si>
    <t>11-17-2023</t>
  </si>
  <si>
    <t>2023/06/16</t>
  </si>
  <si>
    <t>2023/05/02</t>
  </si>
  <si>
    <t>2022-11-15</t>
  </si>
  <si>
    <t>Jan 21, 2024</t>
  </si>
  <si>
    <t>2023-12-01</t>
  </si>
  <si>
    <t>2023-03-02</t>
  </si>
  <si>
    <t>15/01/2022</t>
  </si>
  <si>
    <t>30/04/2023</t>
  </si>
  <si>
    <t>01-18-2022</t>
  </si>
  <si>
    <t>14/01/2024</t>
  </si>
  <si>
    <t>02-10-2023</t>
  </si>
  <si>
    <t>Jul 27, 2023</t>
  </si>
  <si>
    <t>09-25-2022</t>
  </si>
  <si>
    <t>2022-05-20</t>
  </si>
  <si>
    <t>03-23-2022</t>
  </si>
  <si>
    <t>2022/03/08</t>
  </si>
  <si>
    <t>17/09/2022</t>
  </si>
  <si>
    <t>Oct 07, 2023</t>
  </si>
  <si>
    <t>03-07-2023</t>
  </si>
  <si>
    <t xml:space="preserve"> </t>
  </si>
  <si>
    <t>Total Sales</t>
  </si>
  <si>
    <t>Row Labels</t>
  </si>
  <si>
    <t>Grand Total</t>
  </si>
  <si>
    <t>Sum of price</t>
  </si>
  <si>
    <t>Sum of Total Sales</t>
  </si>
  <si>
    <t>Sum of quantity</t>
  </si>
  <si>
    <t>2022</t>
  </si>
  <si>
    <t>2023</t>
  </si>
  <si>
    <t>2024</t>
  </si>
  <si>
    <t>E-Commerce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</si>
</sst>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70" formatCode="_(* #,##0_);_(* \(#,##0\);_(* &quot;-&quot;??_);_(@_)"/>
  </numFmts>
  <fonts count="3" x14ac:knownFonts="1">
    <font>
      <sz val="11"/>
      <color theme="1"/>
      <name val="Calibri"/>
      <family val="2"/>
      <scheme val="minor"/>
    </font>
    <font>
      <b/>
      <sz val="11"/>
      <color theme="1"/>
      <name val="Calibri"/>
      <family val="2"/>
      <scheme val="minor"/>
    </font>
    <font>
      <b/>
      <sz val="36"/>
      <color theme="0"/>
      <name val="Calibri"/>
      <family val="2"/>
      <scheme val="minor"/>
    </font>
  </fonts>
  <fills count="3">
    <fill>
      <patternFill patternType="none"/>
    </fill>
    <fill>
      <patternFill patternType="gray125"/>
    </fill>
    <fill>
      <patternFill patternType="solid">
        <fgColor theme="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14" fontId="0" fillId="0" borderId="0" xfId="0" applyNumberFormat="1"/>
    <xf numFmtId="14" fontId="1" fillId="0" borderId="1" xfId="0" applyNumberFormat="1"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70" fontId="0" fillId="0" borderId="0" xfId="0" applyNumberFormat="1"/>
    <xf numFmtId="0" fontId="0" fillId="2" borderId="0" xfId="0" applyFill="1" applyAlignment="1">
      <alignment horizontal="center"/>
    </xf>
    <xf numFmtId="0" fontId="0" fillId="0" borderId="0" xfId="0" applyAlignment="1">
      <alignment vertical="center"/>
    </xf>
    <xf numFmtId="0" fontId="0" fillId="0" borderId="0" xfId="0" applyAlignment="1">
      <alignment horizontal="right" vertical="center"/>
    </xf>
    <xf numFmtId="0" fontId="2" fillId="2" borderId="0" xfId="0" applyFont="1" applyFill="1" applyAlignment="1">
      <alignment horizontal="center"/>
    </xf>
  </cellXfs>
  <cellStyles count="1">
    <cellStyle name="Normal" xfId="0" builtinId="0"/>
  </cellStyles>
  <dxfs count="161">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[ecommerce_messy_dataset.xlsx]Pivot Table!PivotTable1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a:t>
            </a:r>
            <a:r>
              <a:rPr lang="en-US" baseline="0"/>
              <a:t> Performers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Table'!$A$2:$A$5</c:f>
              <c:strCache>
                <c:ptCount val="3"/>
                <c:pt idx="0">
                  <c:v>Electronics</c:v>
                </c:pt>
                <c:pt idx="1">
                  <c:v>Fashion</c:v>
                </c:pt>
                <c:pt idx="2">
                  <c:v>Accessories</c:v>
                </c:pt>
              </c:strCache>
            </c:strRef>
          </c:cat>
          <c:val>
            <c:numRef>
              <c:f>'Pivot Table'!$B$2:$B$5</c:f>
              <c:numCache>
                <c:formatCode>_(* #,##0_);_(* \(#,##0\);_(* "-"??_);_(@_)</c:formatCode>
                <c:ptCount val="3"/>
                <c:pt idx="0">
                  <c:v>11508.1</c:v>
                </c:pt>
                <c:pt idx="1">
                  <c:v>5240.5600000000004</c:v>
                </c:pt>
                <c:pt idx="2">
                  <c:v>2662.5099999999998</c:v>
                </c:pt>
              </c:numCache>
            </c:numRef>
          </c:val>
          <c:extLst>
            <c:ext xmlns:c16="http://schemas.microsoft.com/office/drawing/2014/chart" uri="{C3380CC4-5D6E-409C-BE32-E72D297353CC}">
              <c16:uniqueId val="{00000000-8B7F-4A95-8F5C-D29058F45D22}"/>
            </c:ext>
          </c:extLst>
        </c:ser>
        <c:dLbls>
          <c:showLegendKey val="0"/>
          <c:showVal val="1"/>
          <c:showCatName val="0"/>
          <c:showSerName val="0"/>
          <c:showPercent val="0"/>
          <c:showBubbleSize val="0"/>
        </c:dLbls>
        <c:gapWidth val="65"/>
        <c:shape val="box"/>
        <c:axId val="80380400"/>
        <c:axId val="51952784"/>
        <c:axId val="0"/>
      </c:bar3DChart>
      <c:catAx>
        <c:axId val="8038040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1952784"/>
        <c:crosses val="autoZero"/>
        <c:auto val="1"/>
        <c:lblAlgn val="ctr"/>
        <c:lblOffset val="100"/>
        <c:noMultiLvlLbl val="0"/>
      </c:catAx>
      <c:valAx>
        <c:axId val="51952784"/>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Amount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03804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[ecommerce_messy_dataset.xlsx]Pivot Table!PivotTable2</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Counry Performers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Table'!$B$18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Table'!$A$19:$A$23</c:f>
              <c:strCache>
                <c:ptCount val="4"/>
                <c:pt idx="0">
                  <c:v>Canada</c:v>
                </c:pt>
                <c:pt idx="1">
                  <c:v>Nigeria</c:v>
                </c:pt>
                <c:pt idx="2">
                  <c:v>United Kingdom</c:v>
                </c:pt>
                <c:pt idx="3">
                  <c:v>United States</c:v>
                </c:pt>
              </c:strCache>
            </c:strRef>
          </c:cat>
          <c:val>
            <c:numRef>
              <c:f>'Pivot Table'!$B$19:$B$23</c:f>
              <c:numCache>
                <c:formatCode>_(* #,##0_);_(* \(#,##0\);_(* "-"??_);_(@_)</c:formatCode>
                <c:ptCount val="4"/>
                <c:pt idx="0">
                  <c:v>29249.71</c:v>
                </c:pt>
                <c:pt idx="1">
                  <c:v>26209.730000000003</c:v>
                </c:pt>
                <c:pt idx="2">
                  <c:v>20051.25</c:v>
                </c:pt>
                <c:pt idx="3">
                  <c:v>29491.93</c:v>
                </c:pt>
              </c:numCache>
            </c:numRef>
          </c:val>
          <c:extLst>
            <c:ext xmlns:c16="http://schemas.microsoft.com/office/drawing/2014/chart" uri="{C3380CC4-5D6E-409C-BE32-E72D297353CC}">
              <c16:uniqueId val="{00000000-3C95-4829-BCD4-72A9E1EF0DC5}"/>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[ecommerce_messy_dataset.xlsx]Pivot Table!PivotTable3</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Products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Table'!$A$32:$A$40</c:f>
              <c:strCache>
                <c:ptCount val="8"/>
                <c:pt idx="0">
                  <c:v>Sneakers</c:v>
                </c:pt>
                <c:pt idx="1">
                  <c:v>Watch</c:v>
                </c:pt>
                <c:pt idx="2">
                  <c:v>Tablet</c:v>
                </c:pt>
                <c:pt idx="3">
                  <c:v>Speaker</c:v>
                </c:pt>
                <c:pt idx="4">
                  <c:v>Keyboard</c:v>
                </c:pt>
                <c:pt idx="5">
                  <c:v>Smartphone</c:v>
                </c:pt>
                <c:pt idx="6">
                  <c:v>Headphones</c:v>
                </c:pt>
                <c:pt idx="7">
                  <c:v>Laptop</c:v>
                </c:pt>
              </c:strCache>
            </c:strRef>
          </c:cat>
          <c:val>
            <c:numRef>
              <c:f>'Pivot Table'!$B$32:$B$40</c:f>
              <c:numCache>
                <c:formatCode>General</c:formatCode>
                <c:ptCount val="8"/>
                <c:pt idx="0">
                  <c:v>42</c:v>
                </c:pt>
                <c:pt idx="1">
                  <c:v>23</c:v>
                </c:pt>
                <c:pt idx="2">
                  <c:v>17</c:v>
                </c:pt>
                <c:pt idx="3">
                  <c:v>10</c:v>
                </c:pt>
                <c:pt idx="4">
                  <c:v>8</c:v>
                </c:pt>
                <c:pt idx="5">
                  <c:v>8</c:v>
                </c:pt>
                <c:pt idx="6">
                  <c:v>6</c:v>
                </c:pt>
                <c:pt idx="7">
                  <c:v>1</c:v>
                </c:pt>
              </c:numCache>
            </c:numRef>
          </c:val>
          <c:extLst>
            <c:ext xmlns:c16="http://schemas.microsoft.com/office/drawing/2014/chart" uri="{C3380CC4-5D6E-409C-BE32-E72D297353CC}">
              <c16:uniqueId val="{00000000-3219-4941-83FF-BD881B9A6EEB}"/>
            </c:ext>
          </c:extLst>
        </c:ser>
        <c:dLbls>
          <c:dLblPos val="ctr"/>
          <c:showLegendKey val="0"/>
          <c:showVal val="1"/>
          <c:showCatName val="0"/>
          <c:showSerName val="0"/>
          <c:showPercent val="0"/>
          <c:showBubbleSize val="0"/>
        </c:dLbls>
        <c:gapWidth val="150"/>
        <c:overlap val="100"/>
        <c:axId val="2088326304"/>
        <c:axId val="142987632"/>
      </c:barChart>
      <c:catAx>
        <c:axId val="208832630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Product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987632"/>
        <c:crosses val="autoZero"/>
        <c:auto val="1"/>
        <c:lblAlgn val="ctr"/>
        <c:lblOffset val="100"/>
        <c:noMultiLvlLbl val="0"/>
      </c:catAx>
      <c:valAx>
        <c:axId val="14298763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Quantity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20883263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[ecommerce_messy_dataset.xlsx]Pivot Table!PivotTable6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Table'!$B$44</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Table'!$A$45:$A$48</c:f>
              <c:strCache>
                <c:ptCount val="3"/>
                <c:pt idx="0">
                  <c:v>2022</c:v>
                </c:pt>
                <c:pt idx="1">
                  <c:v>2023</c:v>
                </c:pt>
                <c:pt idx="2">
                  <c:v>2024</c:v>
                </c:pt>
              </c:strCache>
            </c:strRef>
          </c:cat>
          <c:val>
            <c:numRef>
              <c:f>'Pivot Table'!$B$45:$B$48</c:f>
              <c:numCache>
                <c:formatCode>General</c:formatCode>
                <c:ptCount val="3"/>
                <c:pt idx="0">
                  <c:v>60730.890000000007</c:v>
                </c:pt>
                <c:pt idx="1">
                  <c:v>39065.049999999996</c:v>
                </c:pt>
                <c:pt idx="2">
                  <c:v>5206.68</c:v>
                </c:pt>
              </c:numCache>
            </c:numRef>
          </c:val>
          <c:smooth val="0"/>
          <c:extLst>
            <c:ext xmlns:c16="http://schemas.microsoft.com/office/drawing/2014/chart" uri="{C3380CC4-5D6E-409C-BE32-E72D297353CC}">
              <c16:uniqueId val="{00000000-68E7-43E3-AC79-8FBE24703D05}"/>
            </c:ext>
          </c:extLst>
        </c:ser>
        <c:dLbls>
          <c:dLblPos val="ctr"/>
          <c:showLegendKey val="0"/>
          <c:showVal val="1"/>
          <c:showCatName val="0"/>
          <c:showSerName val="0"/>
          <c:showPercent val="0"/>
          <c:showBubbleSize val="0"/>
        </c:dLbls>
        <c:marker val="1"/>
        <c:smooth val="0"/>
        <c:axId val="155282976"/>
        <c:axId val="142980144"/>
      </c:lineChart>
      <c:catAx>
        <c:axId val="1552829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980144"/>
        <c:crosses val="autoZero"/>
        <c:auto val="1"/>
        <c:lblAlgn val="ctr"/>
        <c:lblOffset val="100"/>
        <c:noMultiLvlLbl val="0"/>
      </c:catAx>
      <c:valAx>
        <c:axId val="1429801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Amount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552829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[ecommerce_messy_dataset.xlsx]Pivot Table!PivotTable1</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a:t>
            </a:r>
            <a:r>
              <a:rPr lang="en-US" baseline="0"/>
              <a:t> Performers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Table'!$A$2:$A$5</c:f>
              <c:strCache>
                <c:ptCount val="3"/>
                <c:pt idx="0">
                  <c:v>Electronics</c:v>
                </c:pt>
                <c:pt idx="1">
                  <c:v>Fashion</c:v>
                </c:pt>
                <c:pt idx="2">
                  <c:v>Accessories</c:v>
                </c:pt>
              </c:strCache>
            </c:strRef>
          </c:cat>
          <c:val>
            <c:numRef>
              <c:f>'Pivot Table'!$B$2:$B$5</c:f>
              <c:numCache>
                <c:formatCode>_(* #,##0_);_(* \(#,##0\);_(* "-"??_);_(@_)</c:formatCode>
                <c:ptCount val="3"/>
                <c:pt idx="0">
                  <c:v>11508.1</c:v>
                </c:pt>
                <c:pt idx="1">
                  <c:v>5240.5600000000004</c:v>
                </c:pt>
                <c:pt idx="2">
                  <c:v>2662.5099999999998</c:v>
                </c:pt>
              </c:numCache>
            </c:numRef>
          </c:val>
          <c:extLst>
            <c:ext xmlns:c16="http://schemas.microsoft.com/office/drawing/2014/chart" uri="{C3380CC4-5D6E-409C-BE32-E72D297353CC}">
              <c16:uniqueId val="{00000000-1810-4AD9-9419-3F22E2FD33D4}"/>
            </c:ext>
          </c:extLst>
        </c:ser>
        <c:dLbls>
          <c:showLegendKey val="0"/>
          <c:showVal val="1"/>
          <c:showCatName val="0"/>
          <c:showSerName val="0"/>
          <c:showPercent val="0"/>
          <c:showBubbleSize val="0"/>
        </c:dLbls>
        <c:gapWidth val="65"/>
        <c:shape val="box"/>
        <c:axId val="80380400"/>
        <c:axId val="51952784"/>
        <c:axId val="0"/>
      </c:bar3DChart>
      <c:catAx>
        <c:axId val="8038040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1952784"/>
        <c:crosses val="autoZero"/>
        <c:auto val="1"/>
        <c:lblAlgn val="ctr"/>
        <c:lblOffset val="100"/>
        <c:noMultiLvlLbl val="0"/>
      </c:catAx>
      <c:valAx>
        <c:axId val="51952784"/>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Amount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03804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[ecommerce_messy_dataset.xlsx]Pivot Table!PivotTable2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Country Performers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Table'!$B$18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5D0-4125-9899-C54257181C0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5D0-4125-9899-C54257181C0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5D0-4125-9899-C54257181C0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5D0-4125-9899-C54257181C0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Table'!$A$19:$A$23</c:f>
              <c:strCache>
                <c:ptCount val="4"/>
                <c:pt idx="0">
                  <c:v>Canada</c:v>
                </c:pt>
                <c:pt idx="1">
                  <c:v>Nigeria</c:v>
                </c:pt>
                <c:pt idx="2">
                  <c:v>United Kingdom</c:v>
                </c:pt>
                <c:pt idx="3">
                  <c:v>United States</c:v>
                </c:pt>
              </c:strCache>
            </c:strRef>
          </c:cat>
          <c:val>
            <c:numRef>
              <c:f>'Pivot Table'!$B$19:$B$23</c:f>
              <c:numCache>
                <c:formatCode>_(* #,##0_);_(* \(#,##0\);_(* "-"??_);_(@_)</c:formatCode>
                <c:ptCount val="4"/>
                <c:pt idx="0">
                  <c:v>29249.71</c:v>
                </c:pt>
                <c:pt idx="1">
                  <c:v>26209.730000000003</c:v>
                </c:pt>
                <c:pt idx="2">
                  <c:v>20051.25</c:v>
                </c:pt>
                <c:pt idx="3">
                  <c:v>29491.93</c:v>
                </c:pt>
              </c:numCache>
            </c:numRef>
          </c:val>
          <c:extLst>
            <c:ext xmlns:c16="http://schemas.microsoft.com/office/drawing/2014/chart" uri="{C3380CC4-5D6E-409C-BE32-E72D297353CC}">
              <c16:uniqueId val="{00000008-D5D0-4125-9899-C54257181C09}"/>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[ecommerce_messy_dataset.xlsx]Pivot Table!PivotTable3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Products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Table'!$B$31</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Table'!$A$32:$A$40</c:f>
              <c:strCache>
                <c:ptCount val="8"/>
                <c:pt idx="0">
                  <c:v>Sneakers</c:v>
                </c:pt>
                <c:pt idx="1">
                  <c:v>Watch</c:v>
                </c:pt>
                <c:pt idx="2">
                  <c:v>Tablet</c:v>
                </c:pt>
                <c:pt idx="3">
                  <c:v>Speaker</c:v>
                </c:pt>
                <c:pt idx="4">
                  <c:v>Keyboard</c:v>
                </c:pt>
                <c:pt idx="5">
                  <c:v>Smartphone</c:v>
                </c:pt>
                <c:pt idx="6">
                  <c:v>Headphones</c:v>
                </c:pt>
                <c:pt idx="7">
                  <c:v>Laptop</c:v>
                </c:pt>
              </c:strCache>
            </c:strRef>
          </c:cat>
          <c:val>
            <c:numRef>
              <c:f>'Pivot Table'!$B$32:$B$40</c:f>
              <c:numCache>
                <c:formatCode>General</c:formatCode>
                <c:ptCount val="8"/>
                <c:pt idx="0">
                  <c:v>42</c:v>
                </c:pt>
                <c:pt idx="1">
                  <c:v>23</c:v>
                </c:pt>
                <c:pt idx="2">
                  <c:v>17</c:v>
                </c:pt>
                <c:pt idx="3">
                  <c:v>10</c:v>
                </c:pt>
                <c:pt idx="4">
                  <c:v>8</c:v>
                </c:pt>
                <c:pt idx="5">
                  <c:v>8</c:v>
                </c:pt>
                <c:pt idx="6">
                  <c:v>6</c:v>
                </c:pt>
                <c:pt idx="7">
                  <c:v>1</c:v>
                </c:pt>
              </c:numCache>
            </c:numRef>
          </c:val>
          <c:extLst>
            <c:ext xmlns:c16="http://schemas.microsoft.com/office/drawing/2014/chart" uri="{C3380CC4-5D6E-409C-BE32-E72D297353CC}">
              <c16:uniqueId val="{00000000-58A2-4188-8B5F-2A29AE90B622}"/>
            </c:ext>
          </c:extLst>
        </c:ser>
        <c:dLbls>
          <c:dLblPos val="ctr"/>
          <c:showLegendKey val="0"/>
          <c:showVal val="1"/>
          <c:showCatName val="0"/>
          <c:showSerName val="0"/>
          <c:showPercent val="0"/>
          <c:showBubbleSize val="0"/>
        </c:dLbls>
        <c:gapWidth val="150"/>
        <c:overlap val="100"/>
        <c:axId val="2088326304"/>
        <c:axId val="142987632"/>
      </c:barChart>
      <c:catAx>
        <c:axId val="208832630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Product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987632"/>
        <c:crosses val="autoZero"/>
        <c:auto val="1"/>
        <c:lblAlgn val="ctr"/>
        <c:lblOffset val="100"/>
        <c:noMultiLvlLbl val="0"/>
      </c:catAx>
      <c:valAx>
        <c:axId val="14298763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Quantity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20883263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[ecommerce_messy_dataset.xlsx]Pivot Table!PivotTable6</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Table'!$B$44</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Table'!$A$45:$A$48</c:f>
              <c:strCache>
                <c:ptCount val="3"/>
                <c:pt idx="0">
                  <c:v>2022</c:v>
                </c:pt>
                <c:pt idx="1">
                  <c:v>2023</c:v>
                </c:pt>
                <c:pt idx="2">
                  <c:v>2024</c:v>
                </c:pt>
              </c:strCache>
            </c:strRef>
          </c:cat>
          <c:val>
            <c:numRef>
              <c:f>'Pivot Table'!$B$45:$B$48</c:f>
              <c:numCache>
                <c:formatCode>General</c:formatCode>
                <c:ptCount val="3"/>
                <c:pt idx="0">
                  <c:v>60730.890000000007</c:v>
                </c:pt>
                <c:pt idx="1">
                  <c:v>39065.049999999996</c:v>
                </c:pt>
                <c:pt idx="2">
                  <c:v>5206.68</c:v>
                </c:pt>
              </c:numCache>
            </c:numRef>
          </c:val>
          <c:smooth val="0"/>
          <c:extLst>
            <c:ext xmlns:c16="http://schemas.microsoft.com/office/drawing/2014/chart" uri="{C3380CC4-5D6E-409C-BE32-E72D297353CC}">
              <c16:uniqueId val="{00000000-16BD-4750-B0B1-59617BDA4356}"/>
            </c:ext>
          </c:extLst>
        </c:ser>
        <c:dLbls>
          <c:dLblPos val="ctr"/>
          <c:showLegendKey val="0"/>
          <c:showVal val="1"/>
          <c:showCatName val="0"/>
          <c:showSerName val="0"/>
          <c:showPercent val="0"/>
          <c:showBubbleSize val="0"/>
        </c:dLbls>
        <c:marker val="1"/>
        <c:smooth val="0"/>
        <c:axId val="155282976"/>
        <c:axId val="142980144"/>
      </c:lineChart>
      <c:catAx>
        <c:axId val="1552829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980144"/>
        <c:crosses val="autoZero"/>
        <c:auto val="1"/>
        <c:lblAlgn val="ctr"/>
        <c:lblOffset val="100"/>
        <c:noMultiLvlLbl val="0"/>
      </c:catAx>
      <c:valAx>
        <c:axId val="1429801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Amount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552829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147638</xdr:colOff>
      <xdr:row>0</xdr:row>
      <xdr:rowOff>19049</xdr:rowOff>
    </xdr:from>
    <xdr:to>
      <xdr:col>8</xdr:col>
      <xdr:colOff>133350</xdr:colOff>
      <xdr:row>13</xdr:row>
      <xdr:rowOff>123825</xdr:rowOff>
    </xdr:to>
    <xdr:graphicFrame macro="">
      <xdr:nvGraphicFramePr>
        <xdr:cNvPr id="2" name="Chart 1">
          <a:extLst>
            <a:ext uri="{FF2B5EF4-FFF2-40B4-BE49-F238E27FC236}">
              <a16:creationId xmlns:a16="http://schemas.microsoft.com/office/drawing/2014/main" id="{D5BB0401-069A-4E42-A307-79D32E045B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171450</xdr:colOff>
      <xdr:row>14</xdr:row>
      <xdr:rowOff>47625</xdr:rowOff>
    </xdr:from>
    <xdr:to>
      <xdr:col>8</xdr:col>
      <xdr:colOff>123825</xdr:colOff>
      <xdr:row>25</xdr:row>
      <xdr:rowOff>95250</xdr:rowOff>
    </xdr:to>
    <xdr:graphicFrame macro="">
      <xdr:nvGraphicFramePr>
        <xdr:cNvPr id="4" name="Chart 3">
          <a:extLst>
            <a:ext uri="{FF2B5EF4-FFF2-40B4-BE49-F238E27FC236}">
              <a16:creationId xmlns:a16="http://schemas.microsoft.com/office/drawing/2014/main" id="{2AE230C9-4228-462D-AD6C-FF05F24A1F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185738</xdr:colOff>
      <xdr:row>25</xdr:row>
      <xdr:rowOff>166688</xdr:rowOff>
    </xdr:from>
    <xdr:to>
      <xdr:col>8</xdr:col>
      <xdr:colOff>142875</xdr:colOff>
      <xdr:row>39</xdr:row>
      <xdr:rowOff>38100</xdr:rowOff>
    </xdr:to>
    <xdr:graphicFrame macro="">
      <xdr:nvGraphicFramePr>
        <xdr:cNvPr id="6" name="Chart 5">
          <a:extLst>
            <a:ext uri="{FF2B5EF4-FFF2-40B4-BE49-F238E27FC236}">
              <a16:creationId xmlns:a16="http://schemas.microsoft.com/office/drawing/2014/main" id="{3C89AE8A-6F4B-4F92-BDAC-5D4E6399FB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185738</xdr:colOff>
      <xdr:row>39</xdr:row>
      <xdr:rowOff>80963</xdr:rowOff>
    </xdr:from>
    <xdr:to>
      <xdr:col>8</xdr:col>
      <xdr:colOff>152400</xdr:colOff>
      <xdr:row>52</xdr:row>
      <xdr:rowOff>133350</xdr:rowOff>
    </xdr:to>
    <xdr:graphicFrame macro="">
      <xdr:nvGraphicFramePr>
        <xdr:cNvPr id="7" name="Chart 6">
          <a:extLst>
            <a:ext uri="{FF2B5EF4-FFF2-40B4-BE49-F238E27FC236}">
              <a16:creationId xmlns:a16="http://schemas.microsoft.com/office/drawing/2014/main" id="{24CCA858-EAA1-48C8-A129-C62E42462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600075</xdr:colOff>
      <xdr:row>3</xdr:row>
      <xdr:rowOff>12700</xdr:rowOff>
    </xdr:from>
    <xdr:to>
      <xdr:col>14</xdr:col>
      <xdr:colOff>550849</xdr:colOff>
      <xdr:row>17</xdr:row>
      <xdr:rowOff>0</xdr:rowOff>
    </xdr:to>
    <xdr:graphicFrame macro="">
      <xdr:nvGraphicFramePr>
        <xdr:cNvPr id="7" name="Chart 6">
          <a:extLst>
            <a:ext uri="{FF2B5EF4-FFF2-40B4-BE49-F238E27FC236}">
              <a16:creationId xmlns:a16="http://schemas.microsoft.com/office/drawing/2014/main" id="{0FC1D31F-9859-4A71-89C9-BE5CAEA59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38100</xdr:colOff>
      <xdr:row>16</xdr:row>
      <xdr:rowOff>177800</xdr:rowOff>
    </xdr:from>
    <xdr:to>
      <xdr:col>8</xdr:col>
      <xdr:colOff>604832</xdr:colOff>
      <xdr:row>30</xdr:row>
      <xdr:rowOff>101600</xdr:rowOff>
    </xdr:to>
    <xdr:graphicFrame macro="">
      <xdr:nvGraphicFramePr>
        <xdr:cNvPr id="9" name="Chart 8">
          <a:extLst>
            <a:ext uri="{FF2B5EF4-FFF2-40B4-BE49-F238E27FC236}">
              <a16:creationId xmlns:a16="http://schemas.microsoft.com/office/drawing/2014/main" id="{D0E9CE52-F5F0-4E95-A647-918DA206A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38100</xdr:colOff>
      <xdr:row>3</xdr:row>
      <xdr:rowOff>12700</xdr:rowOff>
    </xdr:from>
    <xdr:to>
      <xdr:col>9</xdr:col>
      <xdr:colOff>0</xdr:colOff>
      <xdr:row>16</xdr:row>
      <xdr:rowOff>177800</xdr:rowOff>
    </xdr:to>
    <xdr:graphicFrame macro="">
      <xdr:nvGraphicFramePr>
        <xdr:cNvPr id="12" name="Chart 11">
          <a:extLst>
            <a:ext uri="{FF2B5EF4-FFF2-40B4-BE49-F238E27FC236}">
              <a16:creationId xmlns:a16="http://schemas.microsoft.com/office/drawing/2014/main" id="{0F8EBB07-B90D-4E6B-A1D0-6EE26270C4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16</xdr:row>
      <xdr:rowOff>177800</xdr:rowOff>
    </xdr:from>
    <xdr:to>
      <xdr:col>14</xdr:col>
      <xdr:colOff>550836</xdr:colOff>
      <xdr:row>30</xdr:row>
      <xdr:rowOff>114300</xdr:rowOff>
    </xdr:to>
    <xdr:graphicFrame macro="">
      <xdr:nvGraphicFramePr>
        <xdr:cNvPr id="14" name="Chart 13">
          <a:extLst>
            <a:ext uri="{FF2B5EF4-FFF2-40B4-BE49-F238E27FC236}">
              <a16:creationId xmlns:a16="http://schemas.microsoft.com/office/drawing/2014/main" id="{15BBBD5E-483F-4744-B296-3776B82AB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xdr:row>
      <xdr:rowOff>44450</xdr:rowOff>
    </xdr:from>
    <xdr:to>
      <xdr:col>3</xdr:col>
      <xdr:colOff>0</xdr:colOff>
      <xdr:row>16</xdr:row>
      <xdr:rowOff>92075</xdr:rowOff>
    </xdr:to>
    <mc:AlternateContent xmlns:mc="http://schemas.openxmlformats.org/markup-compatibility/2006">
      <mc:Choice xmlns:a14="http://schemas.microsoft.com/office/drawing/2010/main" Requires="a14">
        <xdr:graphicFrame macro="">
          <xdr:nvGraphicFramePr>
            <xdr:cNvPr id="15" name="product">
              <a:extLst>
                <a:ext uri="{FF2B5EF4-FFF2-40B4-BE49-F238E27FC236}">
                  <a16:creationId xmlns:a16="http://schemas.microsoft.com/office/drawing/2014/main" id="{D4244502-8767-4EA3-97E3-FAA2BD7E7BC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0" y="615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603250</xdr:colOff>
      <xdr:row>3</xdr:row>
      <xdr:rowOff>25401</xdr:rowOff>
    </xdr:from>
    <xdr:to>
      <xdr:col>17</xdr:col>
      <xdr:colOff>603250</xdr:colOff>
      <xdr:row>9</xdr:row>
      <xdr:rowOff>101601</xdr:rowOff>
    </xdr:to>
    <mc:AlternateContent xmlns:mc="http://schemas.openxmlformats.org/markup-compatibility/2006">
      <mc:Choice xmlns:a14="http://schemas.microsoft.com/office/drawing/2010/main" Requires="a14">
        <xdr:graphicFrame macro="">
          <xdr:nvGraphicFramePr>
            <xdr:cNvPr id="16" name="category">
              <a:extLst>
                <a:ext uri="{FF2B5EF4-FFF2-40B4-BE49-F238E27FC236}">
                  <a16:creationId xmlns:a16="http://schemas.microsoft.com/office/drawing/2014/main" id="{02570576-EA9E-42DE-845D-CB2D51F2CF0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137650" y="596901"/>
              <a:ext cx="18288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95251</xdr:rowOff>
    </xdr:from>
    <xdr:to>
      <xdr:col>3</xdr:col>
      <xdr:colOff>0</xdr:colOff>
      <xdr:row>28</xdr:row>
      <xdr:rowOff>25401</xdr:rowOff>
    </xdr:to>
    <mc:AlternateContent xmlns:mc="http://schemas.openxmlformats.org/markup-compatibility/2006">
      <mc:Choice xmlns:a14="http://schemas.microsoft.com/office/drawing/2010/main" Requires="a14">
        <xdr:graphicFrame macro="">
          <xdr:nvGraphicFramePr>
            <xdr:cNvPr id="17" name="country">
              <a:extLst>
                <a:ext uri="{FF2B5EF4-FFF2-40B4-BE49-F238E27FC236}">
                  <a16:creationId xmlns:a16="http://schemas.microsoft.com/office/drawing/2014/main" id="{C95814CA-CF82-42D5-A214-B286079FB52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0" y="3905251"/>
              <a:ext cx="1828800" cy="1454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590550</xdr:colOff>
      <xdr:row>16</xdr:row>
      <xdr:rowOff>177800</xdr:rowOff>
    </xdr:from>
    <xdr:to>
      <xdr:col>17</xdr:col>
      <xdr:colOff>590550</xdr:colOff>
      <xdr:row>30</xdr:row>
      <xdr:rowOff>34925</xdr:rowOff>
    </xdr:to>
    <mc:AlternateContent xmlns:mc="http://schemas.openxmlformats.org/markup-compatibility/2006">
      <mc:Choice xmlns:a14="http://schemas.microsoft.com/office/drawing/2010/main" Requires="a14">
        <xdr:graphicFrame macro="">
          <xdr:nvGraphicFramePr>
            <xdr:cNvPr id="18" name="order_date">
              <a:extLst>
                <a:ext uri="{FF2B5EF4-FFF2-40B4-BE49-F238E27FC236}">
                  <a16:creationId xmlns:a16="http://schemas.microsoft.com/office/drawing/2014/main" id="{8826157F-D53F-46D0-B698-A38493B0CCC5}"/>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dr:sp macro="" textlink="">
          <xdr:nvSpPr>
            <xdr:cNvPr id="0" name=""/>
            <xdr:cNvSpPr>
              <a:spLocks noTextEdit="1"/>
            </xdr:cNvSpPr>
          </xdr:nvSpPr>
          <xdr:spPr>
            <a:xfrm>
              <a:off x="9124950" y="3225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56.475696643516" createdVersion="6" refreshedVersion="6" minRefreshableVersion="3" recordCount="19" xr:uid="{D0904380-902E-4365-BE1A-7BDE233FE4F8}">
  <cacheSource type="worksheet">
    <worksheetSource ref="A1:H20" sheet="Clean Data"/>
  </cacheSource>
  <cacheFields count="10">
    <cacheField name="customer_name" numFmtId="0">
      <sharedItems/>
    </cacheField>
    <cacheField name="product" numFmtId="0">
      <sharedItems count="8">
        <s v="Tablet"/>
        <s v="Keyboard"/>
        <s v="Sneakers"/>
        <s v="Headphones"/>
        <s v="Watch"/>
        <s v="Speaker"/>
        <s v="Smartphone"/>
        <s v="Laptop"/>
      </sharedItems>
    </cacheField>
    <cacheField name="category" numFmtId="0">
      <sharedItems count="3">
        <s v="Electronics"/>
        <s v="Fashion"/>
        <s v="Accessories"/>
      </sharedItems>
    </cacheField>
    <cacheField name="country" numFmtId="0">
      <sharedItems count="4">
        <s v="Canada"/>
        <s v="Nigeria"/>
        <s v="United Kingdom"/>
        <s v="United States"/>
      </sharedItems>
    </cacheField>
    <cacheField name="price" numFmtId="0">
      <sharedItems containsSemiMixedTypes="0" containsString="0" containsNumber="1" minValue="69.349999999999994" maxValue="1987.97"/>
    </cacheField>
    <cacheField name="quantity" numFmtId="0">
      <sharedItems containsSemiMixedTypes="0" containsString="0" containsNumber="1" containsInteger="1" minValue="1" maxValue="10"/>
    </cacheField>
    <cacheField name="Total Sales" numFmtId="0">
      <sharedItems containsSemiMixedTypes="0" containsString="0" containsNumber="1" minValue="554.79999999999995" maxValue="19879.7"/>
    </cacheField>
    <cacheField name="order_date" numFmtId="164">
      <sharedItems containsSemiMixedTypes="0" containsNonDate="0" containsDate="1" containsString="0" minDate="2022-01-15T00:00:00" maxDate="2024-02-07T00:00:00" count="19">
        <d v="2023-04-28T00:00:00"/>
        <d v="2022-03-26T00:00:00"/>
        <d v="2022-07-07T00:00:00"/>
        <d v="2022-02-06T00:00:00"/>
        <d v="2022-05-05T00:00:00"/>
        <d v="2023-01-11T00:00:00"/>
        <d v="2024-02-06T00:00:00"/>
        <d v="2023-11-17T00:00:00"/>
        <d v="2022-10-10T00:00:00"/>
        <d v="2023-02-07T00:00:00"/>
        <d v="2022-01-15T00:00:00"/>
        <d v="2022-04-27T00:00:00"/>
        <d v="2022-01-18T00:00:00"/>
        <d v="2022-11-08T00:00:00"/>
        <d v="2023-07-28T00:00:00"/>
        <d v="2022-12-28T00:00:00"/>
        <d v="2023-12-10T00:00:00"/>
        <d v="2023-04-29T00:00:00"/>
        <d v="2022-04-19T00:00:00"/>
      </sharedItems>
      <fieldGroup par="9" base="7">
        <rangePr groupBy="months" startDate="2022-01-15T00:00:00" endDate="2024-02-07T00:00:00"/>
        <groupItems count="14">
          <s v="&lt;1/15/2022"/>
          <s v="Jan"/>
          <s v="Feb"/>
          <s v="Mar"/>
          <s v="Apr"/>
          <s v="May"/>
          <s v="Jun"/>
          <s v="Jul"/>
          <s v="Aug"/>
          <s v="Sep"/>
          <s v="Oct"/>
          <s v="Nov"/>
          <s v="Dec"/>
          <s v="&gt;2/7/2024"/>
        </groupItems>
      </fieldGroup>
    </cacheField>
    <cacheField name="Quarters" numFmtId="0" databaseField="0">
      <fieldGroup base="7">
        <rangePr groupBy="quarters" startDate="2022-01-15T00:00:00" endDate="2024-02-07T00:00:00"/>
        <groupItems count="6">
          <s v="&lt;1/15/2022"/>
          <s v="Qtr1"/>
          <s v="Qtr2"/>
          <s v="Qtr3"/>
          <s v="Qtr4"/>
          <s v="&gt;2/7/2024"/>
        </groupItems>
      </fieldGroup>
    </cacheField>
    <cacheField name="Years" numFmtId="0" databaseField="0">
      <fieldGroup base="7">
        <rangePr groupBy="years" startDate="2022-01-15T00:00:00" endDate="2024-02-07T00:00:00"/>
        <groupItems count="5">
          <s v="&lt;1/15/2022"/>
          <s v="2022"/>
          <s v="2023"/>
          <s v="2024"/>
          <s v="&gt;2/7/2024"/>
        </groupItems>
      </fieldGroup>
    </cacheField>
  </cacheFields>
  <extLst>
    <ext xmlns:x14="http://schemas.microsoft.com/office/spreadsheetml/2009/9/main" uri="{725AE2AE-9491-48be-B2B4-4EB974FC3084}">
      <x14:pivotCacheDefinition pivotCacheId="10864807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s v="Fatima Bello"/>
    <x v="0"/>
    <x v="0"/>
    <x v="0"/>
    <n v="1987.97"/>
    <n v="10"/>
    <n v="19879.7"/>
    <x v="0"/>
  </r>
  <r>
    <s v="Aisha Musa"/>
    <x v="1"/>
    <x v="0"/>
    <x v="1"/>
    <n v="1979.39"/>
    <n v="8"/>
    <n v="15835.12"/>
    <x v="1"/>
  </r>
  <r>
    <s v="Jane Smith"/>
    <x v="2"/>
    <x v="1"/>
    <x v="2"/>
    <n v="1894.95"/>
    <n v="7"/>
    <n v="13264.65"/>
    <x v="2"/>
  </r>
  <r>
    <s v="Fatima Bello"/>
    <x v="2"/>
    <x v="1"/>
    <x v="1"/>
    <n v="726.15"/>
    <n v="10"/>
    <n v="7261.5"/>
    <x v="3"/>
  </r>
  <r>
    <s v="Aisha Musa"/>
    <x v="3"/>
    <x v="0"/>
    <x v="2"/>
    <n v="1357.32"/>
    <n v="5"/>
    <n v="6786.5999999999995"/>
    <x v="4"/>
  </r>
  <r>
    <s v="Maria Lopez"/>
    <x v="4"/>
    <x v="2"/>
    <x v="3"/>
    <n v="968.33"/>
    <n v="7"/>
    <n v="6778.31"/>
    <x v="5"/>
  </r>
  <r>
    <s v="Ella Stone"/>
    <x v="2"/>
    <x v="1"/>
    <x v="3"/>
    <n v="867.78"/>
    <n v="6"/>
    <n v="5206.68"/>
    <x v="6"/>
  </r>
  <r>
    <s v="Fatima Bello"/>
    <x v="5"/>
    <x v="0"/>
    <x v="3"/>
    <n v="1478.16"/>
    <n v="3"/>
    <n v="4434.4800000000005"/>
    <x v="7"/>
  </r>
  <r>
    <s v="Aisha Musa"/>
    <x v="2"/>
    <x v="1"/>
    <x v="3"/>
    <n v="1040.98"/>
    <n v="4"/>
    <n v="4163.92"/>
    <x v="8"/>
  </r>
  <r>
    <s v="Ella Stone"/>
    <x v="5"/>
    <x v="0"/>
    <x v="1"/>
    <n v="444.73"/>
    <n v="7"/>
    <n v="3113.11"/>
    <x v="9"/>
  </r>
  <r>
    <s v="Aisha Musa"/>
    <x v="4"/>
    <x v="2"/>
    <x v="0"/>
    <n v="502.15"/>
    <n v="6"/>
    <n v="3012.8999999999996"/>
    <x v="10"/>
  </r>
  <r>
    <s v="Alex King"/>
    <x v="2"/>
    <x v="1"/>
    <x v="0"/>
    <n v="599.04999999999995"/>
    <n v="5"/>
    <n v="2995.25"/>
    <x v="11"/>
  </r>
  <r>
    <s v="Chris Paul"/>
    <x v="6"/>
    <x v="0"/>
    <x v="3"/>
    <n v="328.81"/>
    <n v="8"/>
    <n v="2630.48"/>
    <x v="12"/>
  </r>
  <r>
    <s v="Ella Stone"/>
    <x v="4"/>
    <x v="2"/>
    <x v="0"/>
    <n v="1122.68"/>
    <n v="2"/>
    <n v="2245.36"/>
    <x v="13"/>
  </r>
  <r>
    <s v="Liam Chen"/>
    <x v="0"/>
    <x v="0"/>
    <x v="3"/>
    <n v="298.58999999999997"/>
    <n v="7"/>
    <n v="2090.1299999999997"/>
    <x v="14"/>
  </r>
  <r>
    <s v="Maria Lopez"/>
    <x v="3"/>
    <x v="0"/>
    <x v="3"/>
    <n v="1980.31"/>
    <n v="1"/>
    <n v="1980.31"/>
    <x v="15"/>
  </r>
  <r>
    <s v="Liam Chen"/>
    <x v="7"/>
    <x v="0"/>
    <x v="3"/>
    <n v="1652.82"/>
    <n v="1"/>
    <n v="1652.82"/>
    <x v="16"/>
  </r>
  <r>
    <s v="Ella Stone"/>
    <x v="2"/>
    <x v="1"/>
    <x v="0"/>
    <n v="111.65"/>
    <n v="10"/>
    <n v="1116.5"/>
    <x v="17"/>
  </r>
  <r>
    <s v="Fatima Bello"/>
    <x v="4"/>
    <x v="2"/>
    <x v="3"/>
    <n v="69.349999999999994"/>
    <n v="8"/>
    <n v="554.79999999999995"/>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783121-6C1B-47EE-9BA3-8B8F4A9778FB}" name="PivotTable6"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44:B48" firstHeaderRow="1" firstDataRow="1" firstDataCol="1"/>
  <pivotFields count="10">
    <pivotField showAll="0"/>
    <pivotField showAll="0">
      <items count="9">
        <item x="3"/>
        <item x="1"/>
        <item x="7"/>
        <item x="6"/>
        <item x="2"/>
        <item x="5"/>
        <item x="0"/>
        <item x="4"/>
        <item t="default"/>
      </items>
    </pivotField>
    <pivotField showAll="0">
      <items count="4">
        <item x="2"/>
        <item x="0"/>
        <item x="1"/>
        <item t="default"/>
      </items>
    </pivotField>
    <pivotField showAll="0">
      <items count="5">
        <item x="0"/>
        <item x="1"/>
        <item x="2"/>
        <item x="3"/>
        <item t="default"/>
      </items>
    </pivotField>
    <pivotField showAll="0"/>
    <pivotField showAll="0"/>
    <pivotField dataField="1" showAll="0"/>
    <pivotField axis="axisRow" numFmtId="164" showAll="0">
      <items count="15">
        <item x="0"/>
        <item x="1"/>
        <item x="2"/>
        <item x="3"/>
        <item x="4"/>
        <item x="5"/>
        <item x="6"/>
        <item x="7"/>
        <item x="8"/>
        <item x="9"/>
        <item x="10"/>
        <item x="11"/>
        <item x="12"/>
        <item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9"/>
    <field x="8"/>
    <field x="7"/>
  </rowFields>
  <rowItems count="4">
    <i>
      <x v="1"/>
    </i>
    <i>
      <x v="2"/>
    </i>
    <i>
      <x v="3"/>
    </i>
    <i t="grand">
      <x/>
    </i>
  </rowItems>
  <colItems count="1">
    <i/>
  </colItems>
  <dataFields count="1">
    <dataField name="Sum of Total Sales"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ECC8F1-C1EC-4D8C-893D-3F8D992623C5}" name="PivotTable3"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1:B40" firstHeaderRow="1" firstDataRow="1" firstDataCol="1"/>
  <pivotFields count="10">
    <pivotField showAll="0"/>
    <pivotField axis="axisRow" showAll="0" sortType="descending">
      <items count="9">
        <item x="3"/>
        <item x="1"/>
        <item x="7"/>
        <item x="6"/>
        <item x="2"/>
        <item x="5"/>
        <item x="0"/>
        <item x="4"/>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0"/>
        <item x="1"/>
        <item x="2"/>
        <item x="3"/>
        <item t="default"/>
      </items>
    </pivotField>
    <pivotField showAll="0"/>
    <pivotField dataField="1" showAll="0"/>
    <pivotField showAll="0"/>
    <pivotField numFmtId="16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9">
    <i>
      <x v="4"/>
    </i>
    <i>
      <x v="7"/>
    </i>
    <i>
      <x v="6"/>
    </i>
    <i>
      <x v="5"/>
    </i>
    <i>
      <x v="1"/>
    </i>
    <i>
      <x v="3"/>
    </i>
    <i>
      <x/>
    </i>
    <i>
      <x v="2"/>
    </i>
    <i t="grand">
      <x/>
    </i>
  </rowItems>
  <colItems count="1">
    <i/>
  </colItems>
  <dataFields count="1">
    <dataField name="Sum of quantity" fld="5"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98E2A8-D2F2-4C03-B0E7-B6F01304AED5}" name="PivotTable2"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8:B23" firstHeaderRow="1" firstDataRow="1" firstDataCol="1"/>
  <pivotFields count="10">
    <pivotField showAll="0"/>
    <pivotField showAll="0">
      <items count="9">
        <item x="3"/>
        <item x="1"/>
        <item x="7"/>
        <item x="6"/>
        <item x="2"/>
        <item x="5"/>
        <item x="0"/>
        <item x="4"/>
        <item t="default"/>
      </items>
    </pivotField>
    <pivotField showAll="0">
      <items count="4">
        <item x="2"/>
        <item x="0"/>
        <item x="1"/>
        <item t="default"/>
      </items>
    </pivotField>
    <pivotField axis="axisRow" showAll="0">
      <items count="5">
        <item x="0"/>
        <item x="1"/>
        <item x="2"/>
        <item x="3"/>
        <item t="default"/>
      </items>
    </pivotField>
    <pivotField showAll="0"/>
    <pivotField showAll="0"/>
    <pivotField dataField="1" showAll="0"/>
    <pivotField numFmtId="16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i>
    <i>
      <x v="1"/>
    </i>
    <i>
      <x v="2"/>
    </i>
    <i>
      <x v="3"/>
    </i>
    <i t="grand">
      <x/>
    </i>
  </rowItems>
  <colItems count="1">
    <i/>
  </colItems>
  <dataFields count="1">
    <dataField name="Sum of Total Sales" fld="6" baseField="0" baseItem="0" numFmtId="170"/>
  </dataFields>
  <formats count="1">
    <format dxfId="159">
      <pivotArea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 chart="4" format="9">
      <pivotArea type="data" outline="0" fieldPosition="0">
        <references count="2">
          <reference field="4294967294" count="1" selected="0">
            <x v="0"/>
          </reference>
          <reference field="3" count="1" selected="0">
            <x v="2"/>
          </reference>
        </references>
      </pivotArea>
    </chartFormat>
    <chartFormat chart="4"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EC2EE1-9BC8-40BB-A52E-6DDFBAF34369}" name="PivotTable1" cacheId="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1:B5" firstHeaderRow="1" firstDataRow="1" firstDataCol="1"/>
  <pivotFields count="10">
    <pivotField showAll="0"/>
    <pivotField showAll="0">
      <items count="9">
        <item x="3"/>
        <item x="1"/>
        <item x="7"/>
        <item x="6"/>
        <item x="2"/>
        <item x="5"/>
        <item x="0"/>
        <item x="4"/>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dataField="1" showAll="0"/>
    <pivotField showAll="0"/>
    <pivotField showAll="0"/>
    <pivotField numFmtId="164"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4">
    <i>
      <x v="1"/>
    </i>
    <i>
      <x v="2"/>
    </i>
    <i>
      <x/>
    </i>
    <i t="grand">
      <x/>
    </i>
  </rowItems>
  <colItems count="1">
    <i/>
  </colItems>
  <dataFields count="1">
    <dataField name="Sum of price" fld="4" baseField="0" baseItem="0" numFmtId="170"/>
  </dataFields>
  <formats count="1">
    <format dxfId="16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6251679-1295-44AF-AD46-86049E8F005E}" sourceName="product">
  <pivotTables>
    <pivotTable tabId="3" name="PivotTable3"/>
    <pivotTable tabId="3" name="PivotTable1"/>
    <pivotTable tabId="3" name="PivotTable2"/>
    <pivotTable tabId="3" name="PivotTable6"/>
  </pivotTables>
  <data>
    <tabular pivotCacheId="1086480771">
      <items count="8">
        <i x="3" s="1"/>
        <i x="1" s="1"/>
        <i x="7" s="1"/>
        <i x="6" s="1"/>
        <i x="2" s="1"/>
        <i x="5"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4376B88-C799-459E-BB9E-A2993625612C}" sourceName="category">
  <pivotTables>
    <pivotTable tabId="3" name="PivotTable2"/>
    <pivotTable tabId="3" name="PivotTable1"/>
    <pivotTable tabId="3" name="PivotTable3"/>
    <pivotTable tabId="3" name="PivotTable6"/>
  </pivotTables>
  <data>
    <tabular pivotCacheId="108648077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27AAF76-53C8-443C-A7DA-EAF3C8A97651}" sourceName="country">
  <pivotTables>
    <pivotTable tabId="3" name="PivotTable2"/>
    <pivotTable tabId="3" name="PivotTable1"/>
    <pivotTable tabId="3" name="PivotTable3"/>
    <pivotTable tabId="3" name="PivotTable6"/>
  </pivotTables>
  <data>
    <tabular pivotCacheId="1086480771">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5FFFE316-9D84-475E-B4A2-D138C760833E}" sourceName="order_date">
  <pivotTables>
    <pivotTable tabId="3" name="PivotTable2"/>
    <pivotTable tabId="3" name="PivotTable1"/>
    <pivotTable tabId="3" name="PivotTable3"/>
    <pivotTable tabId="3" name="PivotTable6"/>
  </pivotTables>
  <data>
    <tabular pivotCacheId="1086480771">
      <items count="14">
        <i x="1" s="1"/>
        <i x="2" s="1"/>
        <i x="3" s="1"/>
        <i x="4" s="1"/>
        <i x="5" s="1"/>
        <i x="7" s="1"/>
        <i x="10" s="1"/>
        <i x="11" s="1"/>
        <i x="12" s="1"/>
        <i x="6" s="1" nd="1"/>
        <i x="8" s="1" nd="1"/>
        <i x="9"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6AF3E9AA-DD22-4065-9E43-D9A08AE9BA4F}" cache="Slicer_product" caption="product" rowHeight="241300"/>
  <slicer name="category" xr10:uid="{14CEB311-A86C-42B7-81C5-E5A83EF59243}" cache="Slicer_category" caption="category" rowHeight="241300"/>
  <slicer name="country" xr10:uid="{52C0578F-48F1-4C51-B73D-F36CFDDB8DBA}" cache="Slicer_country" caption="country" rowHeight="241300"/>
  <slicer name="order_date" xr10:uid="{9E641425-D0FA-48B9-9243-CD6127419EAC}" cache="Slicer_order_date" caption="order_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topLeftCell="A80" workbookViewId="0">
      <selection activeCell="M37" sqref="M37"/>
    </sheetView>
  </sheetViews>
  <sheetFormatPr defaultRowHeight="15" x14ac:dyDescent="0.25"/>
  <cols>
    <col min="1" max="1" width="17.42578125" customWidth="1"/>
    <col min="2" max="2" width="17.140625" customWidth="1"/>
    <col min="3" max="3" width="17.28515625" customWidth="1"/>
    <col min="4" max="4" width="19.7109375" customWidth="1"/>
    <col min="5" max="5" width="14.140625" customWidth="1"/>
    <col min="6" max="6" width="14.85546875" customWidth="1"/>
    <col min="7" max="7" width="20.85546875" customWidth="1"/>
  </cols>
  <sheetData>
    <row r="1" spans="1:7" x14ac:dyDescent="0.25">
      <c r="A1" s="1" t="s">
        <v>0</v>
      </c>
      <c r="B1" s="1" t="s">
        <v>1</v>
      </c>
      <c r="C1" s="1" t="s">
        <v>2</v>
      </c>
      <c r="D1" s="1" t="s">
        <v>3</v>
      </c>
      <c r="E1" s="1" t="s">
        <v>4</v>
      </c>
      <c r="F1" s="1" t="s">
        <v>5</v>
      </c>
      <c r="G1" s="1" t="s">
        <v>6</v>
      </c>
    </row>
    <row r="2" spans="1:7" x14ac:dyDescent="0.25">
      <c r="A2" t="s">
        <v>7</v>
      </c>
      <c r="B2" t="s">
        <v>17</v>
      </c>
      <c r="C2" t="s">
        <v>27</v>
      </c>
      <c r="D2" t="s">
        <v>30</v>
      </c>
      <c r="F2">
        <v>6</v>
      </c>
      <c r="G2" t="s">
        <v>36</v>
      </c>
    </row>
    <row r="3" spans="1:7" x14ac:dyDescent="0.25">
      <c r="A3" t="s">
        <v>7</v>
      </c>
      <c r="B3" t="s">
        <v>18</v>
      </c>
      <c r="C3" t="s">
        <v>28</v>
      </c>
      <c r="D3" t="s">
        <v>31</v>
      </c>
      <c r="E3">
        <v>945.13</v>
      </c>
      <c r="G3" t="s">
        <v>37</v>
      </c>
    </row>
    <row r="4" spans="1:7" x14ac:dyDescent="0.25">
      <c r="A4" t="s">
        <v>8</v>
      </c>
      <c r="B4" t="s">
        <v>19</v>
      </c>
      <c r="C4" t="s">
        <v>28</v>
      </c>
      <c r="D4" t="s">
        <v>30</v>
      </c>
      <c r="G4" t="s">
        <v>38</v>
      </c>
    </row>
    <row r="5" spans="1:7" x14ac:dyDescent="0.25">
      <c r="A5" t="s">
        <v>9</v>
      </c>
      <c r="B5" t="s">
        <v>20</v>
      </c>
      <c r="C5" t="s">
        <v>29</v>
      </c>
      <c r="D5" t="s">
        <v>30</v>
      </c>
      <c r="G5" t="s">
        <v>39</v>
      </c>
    </row>
    <row r="6" spans="1:7" x14ac:dyDescent="0.25">
      <c r="A6" t="s">
        <v>10</v>
      </c>
      <c r="B6" t="s">
        <v>17</v>
      </c>
      <c r="C6" t="s">
        <v>27</v>
      </c>
      <c r="D6" t="s">
        <v>32</v>
      </c>
      <c r="G6" t="s">
        <v>40</v>
      </c>
    </row>
    <row r="7" spans="1:7" x14ac:dyDescent="0.25">
      <c r="A7" t="s">
        <v>11</v>
      </c>
      <c r="B7" t="s">
        <v>21</v>
      </c>
      <c r="C7" t="s">
        <v>28</v>
      </c>
      <c r="D7" t="s">
        <v>30</v>
      </c>
      <c r="F7">
        <v>1</v>
      </c>
      <c r="G7" t="s">
        <v>41</v>
      </c>
    </row>
    <row r="8" spans="1:7" x14ac:dyDescent="0.25">
      <c r="A8" t="s">
        <v>8</v>
      </c>
      <c r="B8" t="s">
        <v>22</v>
      </c>
      <c r="C8" t="s">
        <v>28</v>
      </c>
      <c r="D8" t="s">
        <v>33</v>
      </c>
      <c r="E8">
        <v>400.99</v>
      </c>
      <c r="G8" t="s">
        <v>42</v>
      </c>
    </row>
    <row r="9" spans="1:7" x14ac:dyDescent="0.25">
      <c r="A9" t="s">
        <v>7</v>
      </c>
      <c r="B9" t="s">
        <v>20</v>
      </c>
      <c r="C9" t="s">
        <v>27</v>
      </c>
      <c r="D9" t="s">
        <v>32</v>
      </c>
      <c r="F9">
        <v>9</v>
      </c>
      <c r="G9" t="s">
        <v>43</v>
      </c>
    </row>
    <row r="10" spans="1:7" x14ac:dyDescent="0.25">
      <c r="A10" t="s">
        <v>8</v>
      </c>
      <c r="B10" t="s">
        <v>20</v>
      </c>
      <c r="C10" t="s">
        <v>28</v>
      </c>
      <c r="D10" t="s">
        <v>30</v>
      </c>
      <c r="E10">
        <v>704.07</v>
      </c>
      <c r="G10" t="s">
        <v>44</v>
      </c>
    </row>
    <row r="11" spans="1:7" x14ac:dyDescent="0.25">
      <c r="A11" t="s">
        <v>8</v>
      </c>
      <c r="B11" t="s">
        <v>23</v>
      </c>
      <c r="C11" t="s">
        <v>27</v>
      </c>
      <c r="D11" t="s">
        <v>30</v>
      </c>
      <c r="E11">
        <v>111.65</v>
      </c>
      <c r="F11">
        <v>10</v>
      </c>
      <c r="G11" t="s">
        <v>45</v>
      </c>
    </row>
    <row r="12" spans="1:7" x14ac:dyDescent="0.25">
      <c r="A12" t="s">
        <v>12</v>
      </c>
      <c r="B12" t="s">
        <v>23</v>
      </c>
      <c r="C12" t="s">
        <v>27</v>
      </c>
      <c r="D12" t="s">
        <v>32</v>
      </c>
      <c r="G12" t="s">
        <v>46</v>
      </c>
    </row>
    <row r="13" spans="1:7" x14ac:dyDescent="0.25">
      <c r="A13" t="s">
        <v>8</v>
      </c>
      <c r="B13" t="s">
        <v>20</v>
      </c>
      <c r="C13" t="s">
        <v>27</v>
      </c>
      <c r="D13" t="s">
        <v>30</v>
      </c>
      <c r="G13" t="s">
        <v>47</v>
      </c>
    </row>
    <row r="14" spans="1:7" x14ac:dyDescent="0.25">
      <c r="A14" t="s">
        <v>9</v>
      </c>
      <c r="B14" t="s">
        <v>24</v>
      </c>
      <c r="C14" t="s">
        <v>28</v>
      </c>
      <c r="D14" t="s">
        <v>31</v>
      </c>
      <c r="F14">
        <v>5</v>
      </c>
      <c r="G14" t="s">
        <v>48</v>
      </c>
    </row>
    <row r="15" spans="1:7" x14ac:dyDescent="0.25">
      <c r="A15" t="s">
        <v>13</v>
      </c>
      <c r="B15" t="s">
        <v>20</v>
      </c>
      <c r="C15" t="s">
        <v>27</v>
      </c>
      <c r="D15" t="s">
        <v>31</v>
      </c>
      <c r="E15">
        <v>795.74</v>
      </c>
      <c r="G15" t="s">
        <v>49</v>
      </c>
    </row>
    <row r="16" spans="1:7" x14ac:dyDescent="0.25">
      <c r="A16" t="s">
        <v>11</v>
      </c>
      <c r="B16" t="s">
        <v>25</v>
      </c>
      <c r="C16" t="s">
        <v>28</v>
      </c>
      <c r="D16" t="s">
        <v>30</v>
      </c>
      <c r="G16" t="s">
        <v>50</v>
      </c>
    </row>
    <row r="17" spans="1:7" x14ac:dyDescent="0.25">
      <c r="A17" t="s">
        <v>7</v>
      </c>
      <c r="B17" t="s">
        <v>26</v>
      </c>
      <c r="C17" t="s">
        <v>29</v>
      </c>
      <c r="D17" t="s">
        <v>33</v>
      </c>
      <c r="F17">
        <v>4</v>
      </c>
      <c r="G17" t="s">
        <v>51</v>
      </c>
    </row>
    <row r="18" spans="1:7" x14ac:dyDescent="0.25">
      <c r="A18" t="s">
        <v>7</v>
      </c>
      <c r="B18" t="s">
        <v>26</v>
      </c>
      <c r="C18" t="s">
        <v>28</v>
      </c>
      <c r="D18" t="s">
        <v>33</v>
      </c>
      <c r="E18">
        <v>1518.48</v>
      </c>
      <c r="G18" t="s">
        <v>52</v>
      </c>
    </row>
    <row r="19" spans="1:7" x14ac:dyDescent="0.25">
      <c r="A19" t="s">
        <v>7</v>
      </c>
      <c r="B19" t="s">
        <v>26</v>
      </c>
      <c r="C19" t="s">
        <v>27</v>
      </c>
      <c r="D19" t="s">
        <v>32</v>
      </c>
      <c r="F19">
        <v>4</v>
      </c>
      <c r="G19" t="s">
        <v>53</v>
      </c>
    </row>
    <row r="20" spans="1:7" x14ac:dyDescent="0.25">
      <c r="A20" t="s">
        <v>7</v>
      </c>
      <c r="B20" t="s">
        <v>18</v>
      </c>
      <c r="C20" t="s">
        <v>27</v>
      </c>
      <c r="D20" t="s">
        <v>31</v>
      </c>
      <c r="E20">
        <v>751.49</v>
      </c>
      <c r="G20" t="s">
        <v>54</v>
      </c>
    </row>
    <row r="21" spans="1:7" x14ac:dyDescent="0.25">
      <c r="A21" t="s">
        <v>9</v>
      </c>
      <c r="B21" t="s">
        <v>23</v>
      </c>
      <c r="C21" t="s">
        <v>27</v>
      </c>
      <c r="D21" t="s">
        <v>34</v>
      </c>
      <c r="F21">
        <v>9</v>
      </c>
      <c r="G21" t="s">
        <v>55</v>
      </c>
    </row>
    <row r="22" spans="1:7" x14ac:dyDescent="0.25">
      <c r="A22" t="s">
        <v>14</v>
      </c>
      <c r="B22" t="s">
        <v>25</v>
      </c>
      <c r="C22" t="s">
        <v>27</v>
      </c>
      <c r="D22" t="s">
        <v>32</v>
      </c>
      <c r="F22">
        <v>4</v>
      </c>
      <c r="G22" t="s">
        <v>56</v>
      </c>
    </row>
    <row r="23" spans="1:7" x14ac:dyDescent="0.25">
      <c r="A23" t="s">
        <v>10</v>
      </c>
      <c r="B23" t="s">
        <v>20</v>
      </c>
      <c r="C23" t="s">
        <v>27</v>
      </c>
      <c r="D23" t="s">
        <v>33</v>
      </c>
      <c r="F23">
        <v>9</v>
      </c>
      <c r="G23" t="s">
        <v>57</v>
      </c>
    </row>
    <row r="24" spans="1:7" x14ac:dyDescent="0.25">
      <c r="A24" t="s">
        <v>13</v>
      </c>
      <c r="B24" t="s">
        <v>17</v>
      </c>
      <c r="C24" t="s">
        <v>27</v>
      </c>
      <c r="D24" t="s">
        <v>31</v>
      </c>
      <c r="G24" t="s">
        <v>58</v>
      </c>
    </row>
    <row r="25" spans="1:7" x14ac:dyDescent="0.25">
      <c r="A25" t="s">
        <v>14</v>
      </c>
      <c r="B25" t="s">
        <v>20</v>
      </c>
      <c r="C25" t="s">
        <v>28</v>
      </c>
      <c r="D25" t="s">
        <v>35</v>
      </c>
      <c r="G25" t="s">
        <v>59</v>
      </c>
    </row>
    <row r="26" spans="1:7" x14ac:dyDescent="0.25">
      <c r="A26" t="s">
        <v>15</v>
      </c>
      <c r="B26" t="s">
        <v>26</v>
      </c>
      <c r="C26" t="s">
        <v>29</v>
      </c>
      <c r="D26" t="s">
        <v>33</v>
      </c>
      <c r="E26">
        <v>187.29</v>
      </c>
      <c r="G26" t="s">
        <v>60</v>
      </c>
    </row>
    <row r="27" spans="1:7" x14ac:dyDescent="0.25">
      <c r="A27" t="s">
        <v>8</v>
      </c>
      <c r="B27" t="s">
        <v>23</v>
      </c>
      <c r="C27" t="s">
        <v>27</v>
      </c>
      <c r="D27" t="s">
        <v>34</v>
      </c>
      <c r="E27">
        <v>867.78</v>
      </c>
      <c r="F27">
        <v>6</v>
      </c>
      <c r="G27" t="s">
        <v>61</v>
      </c>
    </row>
    <row r="28" spans="1:7" x14ac:dyDescent="0.25">
      <c r="A28" t="s">
        <v>14</v>
      </c>
      <c r="B28" t="s">
        <v>20</v>
      </c>
      <c r="C28" t="s">
        <v>27</v>
      </c>
      <c r="D28" t="s">
        <v>32</v>
      </c>
      <c r="F28">
        <v>3</v>
      </c>
      <c r="G28" t="s">
        <v>62</v>
      </c>
    </row>
    <row r="29" spans="1:7" x14ac:dyDescent="0.25">
      <c r="A29" t="s">
        <v>14</v>
      </c>
      <c r="B29" t="s">
        <v>23</v>
      </c>
      <c r="C29" t="s">
        <v>27</v>
      </c>
      <c r="D29" t="s">
        <v>32</v>
      </c>
      <c r="G29" t="s">
        <v>63</v>
      </c>
    </row>
    <row r="30" spans="1:7" x14ac:dyDescent="0.25">
      <c r="A30" t="s">
        <v>11</v>
      </c>
      <c r="B30" t="s">
        <v>23</v>
      </c>
      <c r="C30" t="s">
        <v>27</v>
      </c>
      <c r="D30" t="s">
        <v>31</v>
      </c>
      <c r="E30">
        <v>304.79000000000002</v>
      </c>
      <c r="G30" t="s">
        <v>64</v>
      </c>
    </row>
    <row r="31" spans="1:7" x14ac:dyDescent="0.25">
      <c r="A31" t="s">
        <v>12</v>
      </c>
      <c r="B31" t="s">
        <v>26</v>
      </c>
      <c r="C31" t="s">
        <v>27</v>
      </c>
      <c r="D31" t="s">
        <v>31</v>
      </c>
      <c r="E31">
        <v>298.58999999999997</v>
      </c>
      <c r="F31">
        <v>7</v>
      </c>
      <c r="G31" t="s">
        <v>65</v>
      </c>
    </row>
    <row r="32" spans="1:7" x14ac:dyDescent="0.25">
      <c r="A32" t="s">
        <v>12</v>
      </c>
      <c r="B32" t="s">
        <v>25</v>
      </c>
      <c r="C32" t="s">
        <v>27</v>
      </c>
      <c r="D32" t="s">
        <v>30</v>
      </c>
      <c r="E32">
        <v>1820.75</v>
      </c>
      <c r="G32" t="s">
        <v>66</v>
      </c>
    </row>
    <row r="33" spans="1:7" x14ac:dyDescent="0.25">
      <c r="A33" t="s">
        <v>8</v>
      </c>
      <c r="B33" t="s">
        <v>21</v>
      </c>
      <c r="C33" t="s">
        <v>28</v>
      </c>
      <c r="D33" t="s">
        <v>35</v>
      </c>
      <c r="F33">
        <v>9</v>
      </c>
      <c r="G33" t="s">
        <v>67</v>
      </c>
    </row>
    <row r="34" spans="1:7" x14ac:dyDescent="0.25">
      <c r="A34" t="s">
        <v>15</v>
      </c>
      <c r="B34" t="s">
        <v>17</v>
      </c>
      <c r="C34" t="s">
        <v>29</v>
      </c>
      <c r="D34" t="s">
        <v>33</v>
      </c>
      <c r="G34" t="s">
        <v>68</v>
      </c>
    </row>
    <row r="35" spans="1:7" x14ac:dyDescent="0.25">
      <c r="A35" t="s">
        <v>15</v>
      </c>
      <c r="B35" t="s">
        <v>23</v>
      </c>
      <c r="C35" t="s">
        <v>29</v>
      </c>
      <c r="D35" t="s">
        <v>32</v>
      </c>
      <c r="G35" t="s">
        <v>69</v>
      </c>
    </row>
    <row r="36" spans="1:7" x14ac:dyDescent="0.25">
      <c r="A36" t="s">
        <v>10</v>
      </c>
      <c r="B36" t="s">
        <v>22</v>
      </c>
      <c r="C36" t="s">
        <v>28</v>
      </c>
      <c r="D36" t="s">
        <v>30</v>
      </c>
      <c r="F36">
        <v>1</v>
      </c>
      <c r="G36" t="s">
        <v>70</v>
      </c>
    </row>
    <row r="37" spans="1:7" x14ac:dyDescent="0.25">
      <c r="A37" t="s">
        <v>8</v>
      </c>
      <c r="B37" t="s">
        <v>21</v>
      </c>
      <c r="C37" t="s">
        <v>28</v>
      </c>
      <c r="D37" t="s">
        <v>32</v>
      </c>
      <c r="G37" t="s">
        <v>71</v>
      </c>
    </row>
    <row r="38" spans="1:7" x14ac:dyDescent="0.25">
      <c r="A38" t="s">
        <v>12</v>
      </c>
      <c r="B38" t="s">
        <v>20</v>
      </c>
      <c r="C38" t="s">
        <v>29</v>
      </c>
      <c r="D38" t="s">
        <v>31</v>
      </c>
      <c r="E38">
        <v>1652.82</v>
      </c>
      <c r="F38">
        <v>1</v>
      </c>
      <c r="G38" t="s">
        <v>72</v>
      </c>
    </row>
    <row r="39" spans="1:7" x14ac:dyDescent="0.25">
      <c r="A39" t="s">
        <v>10</v>
      </c>
      <c r="B39" t="s">
        <v>21</v>
      </c>
      <c r="C39" t="s">
        <v>29</v>
      </c>
      <c r="D39" t="s">
        <v>31</v>
      </c>
      <c r="F39">
        <v>1</v>
      </c>
      <c r="G39" t="s">
        <v>73</v>
      </c>
    </row>
    <row r="40" spans="1:7" x14ac:dyDescent="0.25">
      <c r="A40" t="s">
        <v>14</v>
      </c>
      <c r="B40" t="s">
        <v>23</v>
      </c>
      <c r="C40" t="s">
        <v>27</v>
      </c>
      <c r="D40" t="s">
        <v>35</v>
      </c>
      <c r="G40" t="s">
        <v>74</v>
      </c>
    </row>
    <row r="41" spans="1:7" x14ac:dyDescent="0.25">
      <c r="A41" t="s">
        <v>8</v>
      </c>
      <c r="B41" t="s">
        <v>26</v>
      </c>
      <c r="C41" t="s">
        <v>29</v>
      </c>
      <c r="D41" t="s">
        <v>34</v>
      </c>
      <c r="E41">
        <v>1637.4</v>
      </c>
      <c r="G41" t="s">
        <v>75</v>
      </c>
    </row>
    <row r="42" spans="1:7" x14ac:dyDescent="0.25">
      <c r="A42" t="s">
        <v>14</v>
      </c>
      <c r="B42" t="s">
        <v>22</v>
      </c>
      <c r="C42" t="s">
        <v>28</v>
      </c>
      <c r="D42" t="s">
        <v>32</v>
      </c>
      <c r="E42">
        <v>1335.95</v>
      </c>
      <c r="G42" t="s">
        <v>76</v>
      </c>
    </row>
    <row r="43" spans="1:7" x14ac:dyDescent="0.25">
      <c r="A43" t="s">
        <v>7</v>
      </c>
      <c r="B43" t="s">
        <v>24</v>
      </c>
      <c r="C43" t="s">
        <v>27</v>
      </c>
      <c r="D43" t="s">
        <v>30</v>
      </c>
      <c r="F43">
        <v>2</v>
      </c>
      <c r="G43" t="s">
        <v>77</v>
      </c>
    </row>
    <row r="44" spans="1:7" x14ac:dyDescent="0.25">
      <c r="A44" t="s">
        <v>16</v>
      </c>
      <c r="B44" t="s">
        <v>18</v>
      </c>
      <c r="C44" t="s">
        <v>29</v>
      </c>
      <c r="D44" t="s">
        <v>34</v>
      </c>
      <c r="G44" t="s">
        <v>78</v>
      </c>
    </row>
    <row r="45" spans="1:7" x14ac:dyDescent="0.25">
      <c r="A45" t="s">
        <v>13</v>
      </c>
      <c r="B45" t="s">
        <v>20</v>
      </c>
      <c r="C45" t="s">
        <v>29</v>
      </c>
      <c r="D45" t="s">
        <v>30</v>
      </c>
      <c r="G45" t="s">
        <v>79</v>
      </c>
    </row>
    <row r="46" spans="1:7" x14ac:dyDescent="0.25">
      <c r="A46" t="s">
        <v>8</v>
      </c>
      <c r="B46" t="s">
        <v>20</v>
      </c>
      <c r="C46" t="s">
        <v>27</v>
      </c>
      <c r="D46" t="s">
        <v>35</v>
      </c>
      <c r="F46">
        <v>5</v>
      </c>
      <c r="G46" t="s">
        <v>80</v>
      </c>
    </row>
    <row r="47" spans="1:7" x14ac:dyDescent="0.25">
      <c r="A47" t="s">
        <v>9</v>
      </c>
      <c r="B47" t="s">
        <v>25</v>
      </c>
      <c r="C47" t="s">
        <v>29</v>
      </c>
      <c r="D47" t="s">
        <v>34</v>
      </c>
      <c r="E47">
        <v>1236.97</v>
      </c>
      <c r="G47" t="s">
        <v>81</v>
      </c>
    </row>
    <row r="48" spans="1:7" x14ac:dyDescent="0.25">
      <c r="A48" t="s">
        <v>15</v>
      </c>
      <c r="B48" t="s">
        <v>17</v>
      </c>
      <c r="C48" t="s">
        <v>29</v>
      </c>
      <c r="D48" t="s">
        <v>32</v>
      </c>
      <c r="E48">
        <v>653</v>
      </c>
      <c r="G48" t="s">
        <v>82</v>
      </c>
    </row>
    <row r="49" spans="1:7" x14ac:dyDescent="0.25">
      <c r="A49" t="s">
        <v>9</v>
      </c>
      <c r="B49" t="s">
        <v>23</v>
      </c>
      <c r="C49" t="s">
        <v>29</v>
      </c>
      <c r="D49" t="s">
        <v>31</v>
      </c>
      <c r="E49">
        <v>1040.98</v>
      </c>
      <c r="F49">
        <v>4</v>
      </c>
      <c r="G49" t="s">
        <v>83</v>
      </c>
    </row>
    <row r="50" spans="1:7" x14ac:dyDescent="0.25">
      <c r="A50" t="s">
        <v>9</v>
      </c>
      <c r="B50" t="s">
        <v>25</v>
      </c>
      <c r="C50" t="s">
        <v>27</v>
      </c>
      <c r="D50" t="s">
        <v>32</v>
      </c>
      <c r="G50" t="s">
        <v>84</v>
      </c>
    </row>
    <row r="51" spans="1:7" x14ac:dyDescent="0.25">
      <c r="A51" t="s">
        <v>11</v>
      </c>
      <c r="B51" t="s">
        <v>20</v>
      </c>
      <c r="C51" t="s">
        <v>28</v>
      </c>
      <c r="D51" t="s">
        <v>33</v>
      </c>
      <c r="G51" t="s">
        <v>85</v>
      </c>
    </row>
    <row r="52" spans="1:7" x14ac:dyDescent="0.25">
      <c r="A52" t="s">
        <v>13</v>
      </c>
      <c r="B52" t="s">
        <v>23</v>
      </c>
      <c r="C52" t="s">
        <v>29</v>
      </c>
      <c r="D52" t="s">
        <v>35</v>
      </c>
      <c r="E52">
        <v>726.15</v>
      </c>
      <c r="F52">
        <v>10</v>
      </c>
      <c r="G52" t="s">
        <v>86</v>
      </c>
    </row>
    <row r="53" spans="1:7" x14ac:dyDescent="0.25">
      <c r="A53" t="s">
        <v>12</v>
      </c>
      <c r="B53" t="s">
        <v>17</v>
      </c>
      <c r="C53" t="s">
        <v>27</v>
      </c>
      <c r="D53" t="s">
        <v>30</v>
      </c>
      <c r="G53" t="s">
        <v>87</v>
      </c>
    </row>
    <row r="54" spans="1:7" x14ac:dyDescent="0.25">
      <c r="A54" t="s">
        <v>12</v>
      </c>
      <c r="B54" t="s">
        <v>17</v>
      </c>
      <c r="C54" t="s">
        <v>29</v>
      </c>
      <c r="D54" t="s">
        <v>31</v>
      </c>
      <c r="G54" t="s">
        <v>88</v>
      </c>
    </row>
    <row r="55" spans="1:7" x14ac:dyDescent="0.25">
      <c r="A55" t="s">
        <v>14</v>
      </c>
      <c r="B55" t="s">
        <v>23</v>
      </c>
      <c r="C55" t="s">
        <v>28</v>
      </c>
      <c r="D55" t="s">
        <v>35</v>
      </c>
      <c r="G55" t="s">
        <v>89</v>
      </c>
    </row>
    <row r="56" spans="1:7" x14ac:dyDescent="0.25">
      <c r="A56" t="s">
        <v>16</v>
      </c>
      <c r="B56" t="s">
        <v>18</v>
      </c>
      <c r="C56" t="s">
        <v>28</v>
      </c>
      <c r="D56" t="s">
        <v>34</v>
      </c>
      <c r="E56">
        <v>1122.31</v>
      </c>
      <c r="G56" t="s">
        <v>90</v>
      </c>
    </row>
    <row r="57" spans="1:7" x14ac:dyDescent="0.25">
      <c r="A57" t="s">
        <v>14</v>
      </c>
      <c r="B57" t="s">
        <v>25</v>
      </c>
      <c r="C57" t="s">
        <v>28</v>
      </c>
      <c r="D57" t="s">
        <v>35</v>
      </c>
      <c r="F57">
        <v>6</v>
      </c>
      <c r="G57" t="s">
        <v>91</v>
      </c>
    </row>
    <row r="58" spans="1:7" x14ac:dyDescent="0.25">
      <c r="A58" t="s">
        <v>11</v>
      </c>
      <c r="B58" t="s">
        <v>17</v>
      </c>
      <c r="C58" t="s">
        <v>28</v>
      </c>
      <c r="D58" t="s">
        <v>30</v>
      </c>
      <c r="E58">
        <v>614.45000000000005</v>
      </c>
      <c r="G58" t="s">
        <v>92</v>
      </c>
    </row>
    <row r="59" spans="1:7" x14ac:dyDescent="0.25">
      <c r="A59" t="s">
        <v>16</v>
      </c>
      <c r="B59" t="s">
        <v>19</v>
      </c>
      <c r="C59" t="s">
        <v>28</v>
      </c>
      <c r="D59" t="s">
        <v>34</v>
      </c>
      <c r="G59" t="s">
        <v>93</v>
      </c>
    </row>
    <row r="60" spans="1:7" x14ac:dyDescent="0.25">
      <c r="A60" t="s">
        <v>15</v>
      </c>
      <c r="B60" t="s">
        <v>26</v>
      </c>
      <c r="C60" t="s">
        <v>27</v>
      </c>
      <c r="D60" t="s">
        <v>33</v>
      </c>
      <c r="E60">
        <v>275.64</v>
      </c>
      <c r="G60" t="s">
        <v>94</v>
      </c>
    </row>
    <row r="61" spans="1:7" x14ac:dyDescent="0.25">
      <c r="A61" t="s">
        <v>12</v>
      </c>
      <c r="B61" t="s">
        <v>17</v>
      </c>
      <c r="C61" t="s">
        <v>29</v>
      </c>
      <c r="D61" t="s">
        <v>31</v>
      </c>
      <c r="F61">
        <v>10</v>
      </c>
      <c r="G61" t="s">
        <v>95</v>
      </c>
    </row>
    <row r="62" spans="1:7" x14ac:dyDescent="0.25">
      <c r="A62" t="s">
        <v>11</v>
      </c>
      <c r="B62" t="s">
        <v>23</v>
      </c>
      <c r="C62" t="s">
        <v>27</v>
      </c>
      <c r="D62" t="s">
        <v>32</v>
      </c>
      <c r="G62" t="s">
        <v>96</v>
      </c>
    </row>
    <row r="63" spans="1:7" x14ac:dyDescent="0.25">
      <c r="A63" t="s">
        <v>14</v>
      </c>
      <c r="B63" t="s">
        <v>17</v>
      </c>
      <c r="C63" t="s">
        <v>29</v>
      </c>
      <c r="D63" t="s">
        <v>35</v>
      </c>
      <c r="G63" t="s">
        <v>97</v>
      </c>
    </row>
    <row r="64" spans="1:7" x14ac:dyDescent="0.25">
      <c r="A64" t="s">
        <v>9</v>
      </c>
      <c r="B64" t="s">
        <v>17</v>
      </c>
      <c r="C64" t="s">
        <v>28</v>
      </c>
      <c r="D64" t="s">
        <v>33</v>
      </c>
      <c r="G64" t="s">
        <v>98</v>
      </c>
    </row>
    <row r="65" spans="1:7" x14ac:dyDescent="0.25">
      <c r="A65" t="s">
        <v>15</v>
      </c>
      <c r="B65" t="s">
        <v>17</v>
      </c>
      <c r="C65" t="s">
        <v>27</v>
      </c>
      <c r="D65" t="s">
        <v>30</v>
      </c>
      <c r="G65" t="s">
        <v>99</v>
      </c>
    </row>
    <row r="66" spans="1:7" x14ac:dyDescent="0.25">
      <c r="A66" t="s">
        <v>9</v>
      </c>
      <c r="B66" t="s">
        <v>17</v>
      </c>
      <c r="C66" t="s">
        <v>27</v>
      </c>
      <c r="D66" t="s">
        <v>35</v>
      </c>
      <c r="E66">
        <v>1979.39</v>
      </c>
      <c r="F66">
        <v>8</v>
      </c>
      <c r="G66" t="s">
        <v>100</v>
      </c>
    </row>
    <row r="67" spans="1:7" x14ac:dyDescent="0.25">
      <c r="A67" t="s">
        <v>11</v>
      </c>
      <c r="B67" t="s">
        <v>25</v>
      </c>
      <c r="C67" t="s">
        <v>29</v>
      </c>
      <c r="D67" t="s">
        <v>33</v>
      </c>
      <c r="F67">
        <v>7</v>
      </c>
      <c r="G67" t="s">
        <v>101</v>
      </c>
    </row>
    <row r="68" spans="1:7" x14ac:dyDescent="0.25">
      <c r="A68" t="s">
        <v>15</v>
      </c>
      <c r="B68" t="s">
        <v>22</v>
      </c>
      <c r="C68" t="s">
        <v>27</v>
      </c>
      <c r="D68" t="s">
        <v>34</v>
      </c>
      <c r="G68" t="s">
        <v>102</v>
      </c>
    </row>
    <row r="69" spans="1:7" x14ac:dyDescent="0.25">
      <c r="A69" t="s">
        <v>9</v>
      </c>
      <c r="B69" t="s">
        <v>17</v>
      </c>
      <c r="C69" t="s">
        <v>27</v>
      </c>
      <c r="D69" t="s">
        <v>30</v>
      </c>
      <c r="F69">
        <v>10</v>
      </c>
      <c r="G69" t="s">
        <v>103</v>
      </c>
    </row>
    <row r="70" spans="1:7" x14ac:dyDescent="0.25">
      <c r="A70" t="s">
        <v>16</v>
      </c>
      <c r="B70" t="s">
        <v>23</v>
      </c>
      <c r="C70" t="s">
        <v>27</v>
      </c>
      <c r="D70" t="s">
        <v>30</v>
      </c>
      <c r="F70">
        <v>4</v>
      </c>
      <c r="G70" t="s">
        <v>104</v>
      </c>
    </row>
    <row r="71" spans="1:7" x14ac:dyDescent="0.25">
      <c r="A71" t="s">
        <v>14</v>
      </c>
      <c r="B71" t="s">
        <v>17</v>
      </c>
      <c r="C71" t="s">
        <v>27</v>
      </c>
      <c r="D71" t="s">
        <v>31</v>
      </c>
      <c r="F71">
        <v>8</v>
      </c>
      <c r="G71" t="s">
        <v>105</v>
      </c>
    </row>
    <row r="72" spans="1:7" x14ac:dyDescent="0.25">
      <c r="A72" t="s">
        <v>15</v>
      </c>
      <c r="B72" t="s">
        <v>17</v>
      </c>
      <c r="C72" t="s">
        <v>27</v>
      </c>
      <c r="D72" t="s">
        <v>30</v>
      </c>
      <c r="G72" t="s">
        <v>106</v>
      </c>
    </row>
    <row r="73" spans="1:7" x14ac:dyDescent="0.25">
      <c r="A73" t="s">
        <v>8</v>
      </c>
      <c r="B73" t="s">
        <v>23</v>
      </c>
      <c r="C73" t="s">
        <v>29</v>
      </c>
      <c r="D73" t="s">
        <v>34</v>
      </c>
      <c r="G73" t="s">
        <v>107</v>
      </c>
    </row>
    <row r="74" spans="1:7" x14ac:dyDescent="0.25">
      <c r="A74" t="s">
        <v>11</v>
      </c>
      <c r="B74" t="s">
        <v>23</v>
      </c>
      <c r="C74" t="s">
        <v>29</v>
      </c>
      <c r="D74" t="s">
        <v>35</v>
      </c>
      <c r="G74" t="s">
        <v>108</v>
      </c>
    </row>
    <row r="75" spans="1:7" x14ac:dyDescent="0.25">
      <c r="A75" t="s">
        <v>8</v>
      </c>
      <c r="B75" t="s">
        <v>25</v>
      </c>
      <c r="C75" t="s">
        <v>28</v>
      </c>
      <c r="D75" t="s">
        <v>34</v>
      </c>
      <c r="F75">
        <v>2</v>
      </c>
      <c r="G75" t="s">
        <v>109</v>
      </c>
    </row>
    <row r="76" spans="1:7" x14ac:dyDescent="0.25">
      <c r="A76" t="s">
        <v>13</v>
      </c>
      <c r="B76" t="s">
        <v>17</v>
      </c>
      <c r="C76" t="s">
        <v>27</v>
      </c>
      <c r="D76" t="s">
        <v>33</v>
      </c>
      <c r="E76">
        <v>414.27</v>
      </c>
      <c r="G76" t="s">
        <v>110</v>
      </c>
    </row>
    <row r="77" spans="1:7" x14ac:dyDescent="0.25">
      <c r="A77" t="s">
        <v>12</v>
      </c>
      <c r="B77" t="s">
        <v>18</v>
      </c>
      <c r="C77" t="s">
        <v>27</v>
      </c>
      <c r="D77" t="s">
        <v>34</v>
      </c>
      <c r="G77" t="s">
        <v>111</v>
      </c>
    </row>
    <row r="78" spans="1:7" x14ac:dyDescent="0.25">
      <c r="A78" t="s">
        <v>8</v>
      </c>
      <c r="B78" t="s">
        <v>21</v>
      </c>
      <c r="C78" t="s">
        <v>27</v>
      </c>
      <c r="D78" t="s">
        <v>34</v>
      </c>
      <c r="G78" t="s">
        <v>112</v>
      </c>
    </row>
    <row r="79" spans="1:7" x14ac:dyDescent="0.25">
      <c r="A79" t="s">
        <v>9</v>
      </c>
      <c r="B79" t="s">
        <v>18</v>
      </c>
      <c r="C79" t="s">
        <v>28</v>
      </c>
      <c r="D79" t="s">
        <v>32</v>
      </c>
      <c r="G79" t="s">
        <v>113</v>
      </c>
    </row>
    <row r="80" spans="1:7" x14ac:dyDescent="0.25">
      <c r="A80" t="s">
        <v>9</v>
      </c>
      <c r="B80" t="s">
        <v>24</v>
      </c>
      <c r="C80" t="s">
        <v>28</v>
      </c>
      <c r="D80" t="s">
        <v>34</v>
      </c>
      <c r="G80" t="s">
        <v>114</v>
      </c>
    </row>
    <row r="81" spans="1:7" x14ac:dyDescent="0.25">
      <c r="A81" t="s">
        <v>10</v>
      </c>
      <c r="B81" t="s">
        <v>23</v>
      </c>
      <c r="C81" t="s">
        <v>27</v>
      </c>
      <c r="D81" t="s">
        <v>30</v>
      </c>
      <c r="E81">
        <v>599.04999999999995</v>
      </c>
      <c r="F81">
        <v>5</v>
      </c>
      <c r="G81" t="s">
        <v>115</v>
      </c>
    </row>
    <row r="82" spans="1:7" x14ac:dyDescent="0.25">
      <c r="A82" t="s">
        <v>16</v>
      </c>
      <c r="B82" t="s">
        <v>23</v>
      </c>
      <c r="C82" t="s">
        <v>29</v>
      </c>
      <c r="D82" t="s">
        <v>34</v>
      </c>
      <c r="E82">
        <v>617.66</v>
      </c>
      <c r="G82" t="s">
        <v>116</v>
      </c>
    </row>
    <row r="83" spans="1:7" x14ac:dyDescent="0.25">
      <c r="A83" t="s">
        <v>7</v>
      </c>
      <c r="B83" t="s">
        <v>24</v>
      </c>
      <c r="C83" t="s">
        <v>29</v>
      </c>
      <c r="D83" t="s">
        <v>30</v>
      </c>
      <c r="G83" t="s">
        <v>117</v>
      </c>
    </row>
    <row r="84" spans="1:7" x14ac:dyDescent="0.25">
      <c r="A84" t="s">
        <v>7</v>
      </c>
      <c r="B84" t="s">
        <v>25</v>
      </c>
      <c r="C84" t="s">
        <v>28</v>
      </c>
      <c r="D84" t="s">
        <v>35</v>
      </c>
      <c r="F84">
        <v>6</v>
      </c>
      <c r="G84" t="s">
        <v>118</v>
      </c>
    </row>
    <row r="85" spans="1:7" x14ac:dyDescent="0.25">
      <c r="A85" t="s">
        <v>8</v>
      </c>
      <c r="B85" t="s">
        <v>24</v>
      </c>
      <c r="C85" t="s">
        <v>27</v>
      </c>
      <c r="D85" t="s">
        <v>33</v>
      </c>
      <c r="F85">
        <v>1</v>
      </c>
      <c r="G85" t="s">
        <v>119</v>
      </c>
    </row>
    <row r="86" spans="1:7" x14ac:dyDescent="0.25">
      <c r="A86" t="s">
        <v>8</v>
      </c>
      <c r="B86" t="s">
        <v>24</v>
      </c>
      <c r="C86" t="s">
        <v>29</v>
      </c>
      <c r="D86" t="s">
        <v>35</v>
      </c>
      <c r="G86" t="s">
        <v>120</v>
      </c>
    </row>
    <row r="87" spans="1:7" x14ac:dyDescent="0.25">
      <c r="A87" t="s">
        <v>16</v>
      </c>
      <c r="B87" t="s">
        <v>24</v>
      </c>
      <c r="C87" t="s">
        <v>29</v>
      </c>
      <c r="D87" t="s">
        <v>34</v>
      </c>
      <c r="E87">
        <v>968.33</v>
      </c>
      <c r="F87">
        <v>7</v>
      </c>
      <c r="G87" t="s">
        <v>121</v>
      </c>
    </row>
    <row r="88" spans="1:7" x14ac:dyDescent="0.25">
      <c r="A88" t="s">
        <v>16</v>
      </c>
      <c r="B88" t="s">
        <v>17</v>
      </c>
      <c r="C88" t="s">
        <v>27</v>
      </c>
      <c r="D88" t="s">
        <v>35</v>
      </c>
      <c r="G88" t="s">
        <v>122</v>
      </c>
    </row>
    <row r="89" spans="1:7" x14ac:dyDescent="0.25">
      <c r="A89" t="s">
        <v>8</v>
      </c>
      <c r="B89" t="s">
        <v>25</v>
      </c>
      <c r="C89" t="s">
        <v>27</v>
      </c>
      <c r="D89" t="s">
        <v>32</v>
      </c>
      <c r="E89">
        <v>1813.53</v>
      </c>
      <c r="G89" t="s">
        <v>123</v>
      </c>
    </row>
    <row r="90" spans="1:7" x14ac:dyDescent="0.25">
      <c r="A90" t="s">
        <v>7</v>
      </c>
      <c r="B90" t="s">
        <v>25</v>
      </c>
      <c r="C90" t="s">
        <v>28</v>
      </c>
      <c r="D90" t="s">
        <v>33</v>
      </c>
      <c r="F90">
        <v>5</v>
      </c>
      <c r="G90" t="s">
        <v>124</v>
      </c>
    </row>
    <row r="91" spans="1:7" x14ac:dyDescent="0.25">
      <c r="A91" t="s">
        <v>14</v>
      </c>
      <c r="B91" t="s">
        <v>21</v>
      </c>
      <c r="C91" t="s">
        <v>29</v>
      </c>
      <c r="D91" t="s">
        <v>34</v>
      </c>
      <c r="G91" t="s">
        <v>125</v>
      </c>
    </row>
    <row r="92" spans="1:7" x14ac:dyDescent="0.25">
      <c r="A92" t="s">
        <v>7</v>
      </c>
      <c r="B92" t="s">
        <v>22</v>
      </c>
      <c r="C92" t="s">
        <v>29</v>
      </c>
      <c r="D92" t="s">
        <v>30</v>
      </c>
      <c r="E92">
        <v>680.28</v>
      </c>
      <c r="G92" t="s">
        <v>126</v>
      </c>
    </row>
    <row r="93" spans="1:7" x14ac:dyDescent="0.25">
      <c r="A93" t="s">
        <v>10</v>
      </c>
      <c r="B93" t="s">
        <v>26</v>
      </c>
      <c r="C93" t="s">
        <v>28</v>
      </c>
      <c r="D93" t="s">
        <v>34</v>
      </c>
      <c r="G93" t="s">
        <v>127</v>
      </c>
    </row>
    <row r="94" spans="1:7" x14ac:dyDescent="0.25">
      <c r="A94" t="s">
        <v>16</v>
      </c>
      <c r="B94" t="s">
        <v>18</v>
      </c>
      <c r="C94" t="s">
        <v>27</v>
      </c>
      <c r="D94" t="s">
        <v>33</v>
      </c>
      <c r="G94" t="s">
        <v>128</v>
      </c>
    </row>
    <row r="95" spans="1:7" x14ac:dyDescent="0.25">
      <c r="A95" t="s">
        <v>14</v>
      </c>
      <c r="B95" t="s">
        <v>25</v>
      </c>
      <c r="C95" t="s">
        <v>29</v>
      </c>
      <c r="D95" t="s">
        <v>33</v>
      </c>
      <c r="G95" t="s">
        <v>129</v>
      </c>
    </row>
    <row r="96" spans="1:7" x14ac:dyDescent="0.25">
      <c r="A96" t="s">
        <v>14</v>
      </c>
      <c r="B96" t="s">
        <v>20</v>
      </c>
      <c r="C96" t="s">
        <v>29</v>
      </c>
      <c r="D96" t="s">
        <v>33</v>
      </c>
      <c r="F96">
        <v>7</v>
      </c>
      <c r="G96" t="s">
        <v>130</v>
      </c>
    </row>
    <row r="97" spans="1:7" x14ac:dyDescent="0.25">
      <c r="A97" t="s">
        <v>7</v>
      </c>
      <c r="B97" t="s">
        <v>17</v>
      </c>
      <c r="C97" t="s">
        <v>29</v>
      </c>
      <c r="D97" t="s">
        <v>31</v>
      </c>
      <c r="G97" t="s">
        <v>131</v>
      </c>
    </row>
    <row r="98" spans="1:7" x14ac:dyDescent="0.25">
      <c r="A98" t="s">
        <v>7</v>
      </c>
      <c r="B98" t="s">
        <v>23</v>
      </c>
      <c r="C98" t="s">
        <v>27</v>
      </c>
      <c r="D98" t="s">
        <v>32</v>
      </c>
      <c r="E98">
        <v>843.89</v>
      </c>
      <c r="G98" t="s">
        <v>132</v>
      </c>
    </row>
    <row r="99" spans="1:7" x14ac:dyDescent="0.25">
      <c r="A99" t="s">
        <v>13</v>
      </c>
      <c r="B99" t="s">
        <v>18</v>
      </c>
      <c r="C99" t="s">
        <v>28</v>
      </c>
      <c r="D99" t="s">
        <v>33</v>
      </c>
      <c r="G99" t="s">
        <v>133</v>
      </c>
    </row>
    <row r="100" spans="1:7" x14ac:dyDescent="0.25">
      <c r="A100" t="s">
        <v>12</v>
      </c>
      <c r="B100" t="s">
        <v>18</v>
      </c>
      <c r="C100" t="s">
        <v>29</v>
      </c>
      <c r="D100" t="s">
        <v>31</v>
      </c>
      <c r="G100" t="s">
        <v>134</v>
      </c>
    </row>
    <row r="101" spans="1:7" x14ac:dyDescent="0.25">
      <c r="A101" t="s">
        <v>10</v>
      </c>
      <c r="B101" t="s">
        <v>23</v>
      </c>
      <c r="C101" t="s">
        <v>27</v>
      </c>
      <c r="D101" t="s">
        <v>31</v>
      </c>
      <c r="G101" t="s">
        <v>135</v>
      </c>
    </row>
    <row r="102" spans="1:7" x14ac:dyDescent="0.25">
      <c r="A102" t="s">
        <v>14</v>
      </c>
      <c r="B102" t="s">
        <v>19</v>
      </c>
      <c r="C102" t="s">
        <v>29</v>
      </c>
      <c r="D102" t="s">
        <v>31</v>
      </c>
      <c r="G102" t="s">
        <v>136</v>
      </c>
    </row>
    <row r="103" spans="1:7" x14ac:dyDescent="0.25">
      <c r="A103" t="s">
        <v>11</v>
      </c>
      <c r="B103" t="s">
        <v>25</v>
      </c>
      <c r="C103" t="s">
        <v>27</v>
      </c>
      <c r="D103" t="s">
        <v>30</v>
      </c>
      <c r="G103" t="s">
        <v>137</v>
      </c>
    </row>
    <row r="104" spans="1:7" x14ac:dyDescent="0.25">
      <c r="A104" t="s">
        <v>10</v>
      </c>
      <c r="B104" t="s">
        <v>17</v>
      </c>
      <c r="C104" t="s">
        <v>28</v>
      </c>
      <c r="D104" t="s">
        <v>33</v>
      </c>
      <c r="G104" t="s">
        <v>138</v>
      </c>
    </row>
    <row r="105" spans="1:7" x14ac:dyDescent="0.25">
      <c r="A105" t="s">
        <v>11</v>
      </c>
      <c r="B105" t="s">
        <v>22</v>
      </c>
      <c r="C105" t="s">
        <v>27</v>
      </c>
      <c r="D105" t="s">
        <v>31</v>
      </c>
      <c r="F105">
        <v>10</v>
      </c>
      <c r="G105" t="s">
        <v>139</v>
      </c>
    </row>
    <row r="106" spans="1:7" x14ac:dyDescent="0.25">
      <c r="A106" t="s">
        <v>14</v>
      </c>
      <c r="B106" t="s">
        <v>20</v>
      </c>
      <c r="C106" t="s">
        <v>27</v>
      </c>
      <c r="D106" t="s">
        <v>30</v>
      </c>
      <c r="E106">
        <v>1564.24</v>
      </c>
      <c r="G106" t="s">
        <v>140</v>
      </c>
    </row>
    <row r="107" spans="1:7" x14ac:dyDescent="0.25">
      <c r="A107" t="s">
        <v>12</v>
      </c>
      <c r="B107" t="s">
        <v>19</v>
      </c>
      <c r="C107" t="s">
        <v>27</v>
      </c>
      <c r="D107" t="s">
        <v>35</v>
      </c>
      <c r="G107" t="s">
        <v>141</v>
      </c>
    </row>
    <row r="108" spans="1:7" x14ac:dyDescent="0.25">
      <c r="A108" t="s">
        <v>7</v>
      </c>
      <c r="B108" t="s">
        <v>26</v>
      </c>
      <c r="C108" t="s">
        <v>27</v>
      </c>
      <c r="D108" t="s">
        <v>35</v>
      </c>
      <c r="E108">
        <v>376.18</v>
      </c>
      <c r="G108" t="s">
        <v>142</v>
      </c>
    </row>
    <row r="109" spans="1:7" x14ac:dyDescent="0.25">
      <c r="A109" t="s">
        <v>14</v>
      </c>
      <c r="B109" t="s">
        <v>22</v>
      </c>
      <c r="C109" t="s">
        <v>29</v>
      </c>
      <c r="D109" t="s">
        <v>31</v>
      </c>
      <c r="G109" t="s">
        <v>143</v>
      </c>
    </row>
    <row r="110" spans="1:7" x14ac:dyDescent="0.25">
      <c r="A110" t="s">
        <v>16</v>
      </c>
      <c r="B110" t="s">
        <v>20</v>
      </c>
      <c r="C110" t="s">
        <v>29</v>
      </c>
      <c r="D110" t="s">
        <v>35</v>
      </c>
      <c r="G110" t="s">
        <v>144</v>
      </c>
    </row>
    <row r="111" spans="1:7" x14ac:dyDescent="0.25">
      <c r="A111" t="s">
        <v>12</v>
      </c>
      <c r="B111" t="s">
        <v>23</v>
      </c>
      <c r="C111" t="s">
        <v>28</v>
      </c>
      <c r="D111" t="s">
        <v>34</v>
      </c>
      <c r="F111">
        <v>2</v>
      </c>
      <c r="G111" t="s">
        <v>145</v>
      </c>
    </row>
    <row r="112" spans="1:7" x14ac:dyDescent="0.25">
      <c r="A112" t="s">
        <v>16</v>
      </c>
      <c r="B112" t="s">
        <v>26</v>
      </c>
      <c r="C112" t="s">
        <v>28</v>
      </c>
      <c r="D112" t="s">
        <v>33</v>
      </c>
      <c r="G112" t="s">
        <v>146</v>
      </c>
    </row>
    <row r="113" spans="1:7" x14ac:dyDescent="0.25">
      <c r="A113" t="s">
        <v>8</v>
      </c>
      <c r="B113" t="s">
        <v>19</v>
      </c>
      <c r="C113" t="s">
        <v>27</v>
      </c>
      <c r="D113" t="s">
        <v>31</v>
      </c>
      <c r="F113">
        <v>3</v>
      </c>
      <c r="G113" t="s">
        <v>147</v>
      </c>
    </row>
    <row r="114" spans="1:7" x14ac:dyDescent="0.25">
      <c r="A114" t="s">
        <v>13</v>
      </c>
      <c r="B114" t="s">
        <v>22</v>
      </c>
      <c r="C114" t="s">
        <v>27</v>
      </c>
      <c r="D114" t="s">
        <v>30</v>
      </c>
      <c r="G114" t="s">
        <v>148</v>
      </c>
    </row>
    <row r="115" spans="1:7" x14ac:dyDescent="0.25">
      <c r="A115" t="s">
        <v>8</v>
      </c>
      <c r="B115" t="s">
        <v>26</v>
      </c>
      <c r="C115" t="s">
        <v>28</v>
      </c>
      <c r="D115" t="s">
        <v>32</v>
      </c>
      <c r="G115" t="s">
        <v>149</v>
      </c>
    </row>
    <row r="116" spans="1:7" x14ac:dyDescent="0.25">
      <c r="A116" t="s">
        <v>10</v>
      </c>
      <c r="B116" t="s">
        <v>24</v>
      </c>
      <c r="C116" t="s">
        <v>29</v>
      </c>
      <c r="D116" t="s">
        <v>32</v>
      </c>
      <c r="F116">
        <v>3</v>
      </c>
      <c r="G116" t="s">
        <v>150</v>
      </c>
    </row>
    <row r="117" spans="1:7" x14ac:dyDescent="0.25">
      <c r="A117" t="s">
        <v>8</v>
      </c>
      <c r="B117" t="s">
        <v>18</v>
      </c>
      <c r="C117" t="s">
        <v>29</v>
      </c>
      <c r="D117" t="s">
        <v>34</v>
      </c>
      <c r="G117" t="s">
        <v>151</v>
      </c>
    </row>
    <row r="118" spans="1:7" x14ac:dyDescent="0.25">
      <c r="A118" t="s">
        <v>16</v>
      </c>
      <c r="B118" t="s">
        <v>20</v>
      </c>
      <c r="C118" t="s">
        <v>29</v>
      </c>
      <c r="D118" t="s">
        <v>34</v>
      </c>
      <c r="G118" t="s">
        <v>152</v>
      </c>
    </row>
    <row r="119" spans="1:7" x14ac:dyDescent="0.25">
      <c r="A119" t="s">
        <v>9</v>
      </c>
      <c r="B119" t="s">
        <v>24</v>
      </c>
      <c r="C119" t="s">
        <v>28</v>
      </c>
      <c r="D119" t="s">
        <v>31</v>
      </c>
      <c r="F119">
        <v>9</v>
      </c>
      <c r="G119" t="s">
        <v>153</v>
      </c>
    </row>
    <row r="120" spans="1:7" x14ac:dyDescent="0.25">
      <c r="A120" t="s">
        <v>14</v>
      </c>
      <c r="B120" t="s">
        <v>23</v>
      </c>
      <c r="C120" t="s">
        <v>29</v>
      </c>
      <c r="D120" t="s">
        <v>30</v>
      </c>
      <c r="G120" t="s">
        <v>154</v>
      </c>
    </row>
    <row r="121" spans="1:7" x14ac:dyDescent="0.25">
      <c r="A121" t="s">
        <v>11</v>
      </c>
      <c r="B121" t="s">
        <v>21</v>
      </c>
      <c r="C121" t="s">
        <v>28</v>
      </c>
      <c r="D121" t="s">
        <v>33</v>
      </c>
      <c r="F121">
        <v>7</v>
      </c>
      <c r="G121" t="s">
        <v>155</v>
      </c>
    </row>
    <row r="122" spans="1:7" x14ac:dyDescent="0.25">
      <c r="A122" t="s">
        <v>8</v>
      </c>
      <c r="B122" t="s">
        <v>22</v>
      </c>
      <c r="C122" t="s">
        <v>28</v>
      </c>
      <c r="D122" t="s">
        <v>35</v>
      </c>
      <c r="E122">
        <v>444.73</v>
      </c>
      <c r="F122">
        <v>7</v>
      </c>
      <c r="G122" t="s">
        <v>156</v>
      </c>
    </row>
    <row r="123" spans="1:7" x14ac:dyDescent="0.25">
      <c r="A123" t="s">
        <v>11</v>
      </c>
      <c r="B123" t="s">
        <v>18</v>
      </c>
      <c r="C123" t="s">
        <v>28</v>
      </c>
      <c r="D123" t="s">
        <v>31</v>
      </c>
      <c r="G123" t="s">
        <v>157</v>
      </c>
    </row>
    <row r="124" spans="1:7" x14ac:dyDescent="0.25">
      <c r="A124" t="s">
        <v>7</v>
      </c>
      <c r="B124" t="s">
        <v>17</v>
      </c>
      <c r="C124" t="s">
        <v>28</v>
      </c>
      <c r="D124" t="s">
        <v>35</v>
      </c>
      <c r="F124">
        <v>9</v>
      </c>
      <c r="G124" t="s">
        <v>158</v>
      </c>
    </row>
    <row r="125" spans="1:7" x14ac:dyDescent="0.25">
      <c r="A125" t="s">
        <v>12</v>
      </c>
      <c r="B125" t="s">
        <v>19</v>
      </c>
      <c r="C125" t="s">
        <v>28</v>
      </c>
      <c r="D125" t="s">
        <v>31</v>
      </c>
      <c r="F125">
        <v>5</v>
      </c>
      <c r="G125" t="s">
        <v>159</v>
      </c>
    </row>
    <row r="126" spans="1:7" x14ac:dyDescent="0.25">
      <c r="A126" t="s">
        <v>16</v>
      </c>
      <c r="B126" t="s">
        <v>24</v>
      </c>
      <c r="C126" t="s">
        <v>29</v>
      </c>
      <c r="D126" t="s">
        <v>32</v>
      </c>
      <c r="G126" t="s">
        <v>160</v>
      </c>
    </row>
    <row r="127" spans="1:7" x14ac:dyDescent="0.25">
      <c r="A127" t="s">
        <v>8</v>
      </c>
      <c r="B127" t="s">
        <v>24</v>
      </c>
      <c r="C127" t="s">
        <v>29</v>
      </c>
      <c r="D127" t="s">
        <v>30</v>
      </c>
      <c r="E127">
        <v>1122.68</v>
      </c>
      <c r="F127">
        <v>2</v>
      </c>
      <c r="G127" t="s">
        <v>161</v>
      </c>
    </row>
    <row r="128" spans="1:7" x14ac:dyDescent="0.25">
      <c r="A128" t="s">
        <v>15</v>
      </c>
      <c r="B128" t="s">
        <v>23</v>
      </c>
      <c r="C128" t="s">
        <v>29</v>
      </c>
      <c r="D128" t="s">
        <v>34</v>
      </c>
      <c r="F128">
        <v>6</v>
      </c>
      <c r="G128" t="s">
        <v>162</v>
      </c>
    </row>
    <row r="129" spans="1:7" x14ac:dyDescent="0.25">
      <c r="A129" t="s">
        <v>14</v>
      </c>
      <c r="B129" t="s">
        <v>26</v>
      </c>
      <c r="C129" t="s">
        <v>27</v>
      </c>
      <c r="D129" t="s">
        <v>32</v>
      </c>
      <c r="G129" t="s">
        <v>163</v>
      </c>
    </row>
    <row r="130" spans="1:7" x14ac:dyDescent="0.25">
      <c r="A130" t="s">
        <v>11</v>
      </c>
      <c r="B130" t="s">
        <v>17</v>
      </c>
      <c r="C130" t="s">
        <v>27</v>
      </c>
      <c r="D130" t="s">
        <v>31</v>
      </c>
      <c r="E130">
        <v>1871.32</v>
      </c>
      <c r="G130" t="s">
        <v>164</v>
      </c>
    </row>
    <row r="131" spans="1:7" x14ac:dyDescent="0.25">
      <c r="A131" t="s">
        <v>13</v>
      </c>
      <c r="B131" t="s">
        <v>22</v>
      </c>
      <c r="C131" t="s">
        <v>27</v>
      </c>
      <c r="D131" t="s">
        <v>30</v>
      </c>
      <c r="G131" t="s">
        <v>165</v>
      </c>
    </row>
    <row r="132" spans="1:7" x14ac:dyDescent="0.25">
      <c r="A132" t="s">
        <v>9</v>
      </c>
      <c r="B132" t="s">
        <v>26</v>
      </c>
      <c r="C132" t="s">
        <v>29</v>
      </c>
      <c r="D132" t="s">
        <v>34</v>
      </c>
      <c r="G132" t="s">
        <v>166</v>
      </c>
    </row>
    <row r="133" spans="1:7" x14ac:dyDescent="0.25">
      <c r="A133" t="s">
        <v>13</v>
      </c>
      <c r="B133" t="s">
        <v>18</v>
      </c>
      <c r="C133" t="s">
        <v>28</v>
      </c>
      <c r="D133" t="s">
        <v>33</v>
      </c>
      <c r="G133" t="s">
        <v>167</v>
      </c>
    </row>
    <row r="134" spans="1:7" x14ac:dyDescent="0.25">
      <c r="A134" t="s">
        <v>10</v>
      </c>
      <c r="B134" t="s">
        <v>22</v>
      </c>
      <c r="C134" t="s">
        <v>28</v>
      </c>
      <c r="D134" t="s">
        <v>34</v>
      </c>
      <c r="F134">
        <v>3</v>
      </c>
      <c r="G134" t="s">
        <v>168</v>
      </c>
    </row>
    <row r="135" spans="1:7" x14ac:dyDescent="0.25">
      <c r="A135" t="s">
        <v>15</v>
      </c>
      <c r="B135" t="s">
        <v>25</v>
      </c>
      <c r="C135" t="s">
        <v>29</v>
      </c>
      <c r="D135" t="s">
        <v>33</v>
      </c>
      <c r="G135" t="s">
        <v>169</v>
      </c>
    </row>
    <row r="136" spans="1:7" x14ac:dyDescent="0.25">
      <c r="A136" t="s">
        <v>8</v>
      </c>
      <c r="B136" t="s">
        <v>17</v>
      </c>
      <c r="C136" t="s">
        <v>27</v>
      </c>
      <c r="D136" t="s">
        <v>31</v>
      </c>
      <c r="G136" t="s">
        <v>170</v>
      </c>
    </row>
    <row r="137" spans="1:7" x14ac:dyDescent="0.25">
      <c r="A137" t="s">
        <v>12</v>
      </c>
      <c r="B137" t="s">
        <v>26</v>
      </c>
      <c r="C137" t="s">
        <v>28</v>
      </c>
      <c r="D137" t="s">
        <v>35</v>
      </c>
      <c r="E137">
        <v>1547.87</v>
      </c>
      <c r="G137" t="s">
        <v>171</v>
      </c>
    </row>
    <row r="138" spans="1:7" x14ac:dyDescent="0.25">
      <c r="A138" t="s">
        <v>14</v>
      </c>
      <c r="B138" t="s">
        <v>18</v>
      </c>
      <c r="C138" t="s">
        <v>28</v>
      </c>
      <c r="D138" t="s">
        <v>32</v>
      </c>
      <c r="F138">
        <v>2</v>
      </c>
      <c r="G138" t="s">
        <v>172</v>
      </c>
    </row>
    <row r="139" spans="1:7" x14ac:dyDescent="0.25">
      <c r="A139" t="s">
        <v>15</v>
      </c>
      <c r="B139" t="s">
        <v>22</v>
      </c>
      <c r="C139" t="s">
        <v>29</v>
      </c>
      <c r="D139" t="s">
        <v>35</v>
      </c>
      <c r="F139">
        <v>5</v>
      </c>
      <c r="G139" t="s">
        <v>173</v>
      </c>
    </row>
    <row r="140" spans="1:7" x14ac:dyDescent="0.25">
      <c r="A140" t="s">
        <v>9</v>
      </c>
      <c r="B140" t="s">
        <v>20</v>
      </c>
      <c r="C140" t="s">
        <v>29</v>
      </c>
      <c r="D140" t="s">
        <v>33</v>
      </c>
      <c r="G140" t="s">
        <v>54</v>
      </c>
    </row>
    <row r="141" spans="1:7" x14ac:dyDescent="0.25">
      <c r="A141" t="s">
        <v>9</v>
      </c>
      <c r="B141" t="s">
        <v>26</v>
      </c>
      <c r="C141" t="s">
        <v>29</v>
      </c>
      <c r="D141" t="s">
        <v>32</v>
      </c>
      <c r="G141" t="s">
        <v>174</v>
      </c>
    </row>
    <row r="142" spans="1:7" x14ac:dyDescent="0.25">
      <c r="A142" t="s">
        <v>14</v>
      </c>
      <c r="B142" t="s">
        <v>23</v>
      </c>
      <c r="C142" t="s">
        <v>29</v>
      </c>
      <c r="D142" t="s">
        <v>30</v>
      </c>
      <c r="E142">
        <v>1596.35</v>
      </c>
      <c r="G142" t="s">
        <v>175</v>
      </c>
    </row>
    <row r="143" spans="1:7" x14ac:dyDescent="0.25">
      <c r="A143" t="s">
        <v>9</v>
      </c>
      <c r="B143" t="s">
        <v>18</v>
      </c>
      <c r="C143" t="s">
        <v>27</v>
      </c>
      <c r="D143" t="s">
        <v>32</v>
      </c>
      <c r="E143">
        <v>1357.32</v>
      </c>
      <c r="F143">
        <v>5</v>
      </c>
      <c r="G143" t="s">
        <v>176</v>
      </c>
    </row>
    <row r="144" spans="1:7" x14ac:dyDescent="0.25">
      <c r="A144" t="s">
        <v>13</v>
      </c>
      <c r="B144" t="s">
        <v>26</v>
      </c>
      <c r="C144" t="s">
        <v>29</v>
      </c>
      <c r="D144" t="s">
        <v>30</v>
      </c>
      <c r="E144">
        <v>1987.97</v>
      </c>
      <c r="F144">
        <v>10</v>
      </c>
      <c r="G144" t="s">
        <v>177</v>
      </c>
    </row>
    <row r="145" spans="1:7" x14ac:dyDescent="0.25">
      <c r="A145" t="s">
        <v>7</v>
      </c>
      <c r="B145" t="s">
        <v>22</v>
      </c>
      <c r="C145" t="s">
        <v>29</v>
      </c>
      <c r="D145" t="s">
        <v>34</v>
      </c>
      <c r="F145">
        <v>10</v>
      </c>
      <c r="G145" t="s">
        <v>178</v>
      </c>
    </row>
    <row r="146" spans="1:7" x14ac:dyDescent="0.25">
      <c r="A146" t="s">
        <v>10</v>
      </c>
      <c r="B146" t="s">
        <v>24</v>
      </c>
      <c r="C146" t="s">
        <v>29</v>
      </c>
      <c r="D146" t="s">
        <v>32</v>
      </c>
      <c r="G146" t="s">
        <v>179</v>
      </c>
    </row>
    <row r="147" spans="1:7" x14ac:dyDescent="0.25">
      <c r="A147" t="s">
        <v>9</v>
      </c>
      <c r="B147" t="s">
        <v>23</v>
      </c>
      <c r="C147" t="s">
        <v>27</v>
      </c>
      <c r="D147" t="s">
        <v>30</v>
      </c>
      <c r="F147">
        <v>2</v>
      </c>
      <c r="G147" t="s">
        <v>180</v>
      </c>
    </row>
    <row r="148" spans="1:7" x14ac:dyDescent="0.25">
      <c r="A148" t="s">
        <v>12</v>
      </c>
      <c r="B148" t="s">
        <v>23</v>
      </c>
      <c r="C148" t="s">
        <v>29</v>
      </c>
      <c r="D148" t="s">
        <v>32</v>
      </c>
      <c r="E148">
        <v>463.77</v>
      </c>
      <c r="G148" t="s">
        <v>181</v>
      </c>
    </row>
    <row r="149" spans="1:7" x14ac:dyDescent="0.25">
      <c r="A149" t="s">
        <v>7</v>
      </c>
      <c r="B149" t="s">
        <v>17</v>
      </c>
      <c r="C149" t="s">
        <v>29</v>
      </c>
      <c r="D149" t="s">
        <v>30</v>
      </c>
      <c r="F149">
        <v>1</v>
      </c>
      <c r="G149" t="s">
        <v>182</v>
      </c>
    </row>
    <row r="150" spans="1:7" x14ac:dyDescent="0.25">
      <c r="A150" t="s">
        <v>7</v>
      </c>
      <c r="B150" t="s">
        <v>17</v>
      </c>
      <c r="C150" t="s">
        <v>27</v>
      </c>
      <c r="D150" t="s">
        <v>34</v>
      </c>
      <c r="G150" t="s">
        <v>183</v>
      </c>
    </row>
    <row r="151" spans="1:7" x14ac:dyDescent="0.25">
      <c r="A151" t="s">
        <v>10</v>
      </c>
      <c r="B151" t="s">
        <v>25</v>
      </c>
      <c r="C151" t="s">
        <v>29</v>
      </c>
      <c r="D151" t="s">
        <v>32</v>
      </c>
      <c r="F151">
        <v>2</v>
      </c>
      <c r="G151" t="s">
        <v>184</v>
      </c>
    </row>
    <row r="152" spans="1:7" x14ac:dyDescent="0.25">
      <c r="A152" t="s">
        <v>15</v>
      </c>
      <c r="B152" t="s">
        <v>25</v>
      </c>
      <c r="C152" t="s">
        <v>27</v>
      </c>
      <c r="D152" t="s">
        <v>30</v>
      </c>
      <c r="E152">
        <v>1199.6600000000001</v>
      </c>
      <c r="G152" t="s">
        <v>185</v>
      </c>
    </row>
    <row r="153" spans="1:7" x14ac:dyDescent="0.25">
      <c r="A153" t="s">
        <v>15</v>
      </c>
      <c r="B153" t="s">
        <v>23</v>
      </c>
      <c r="C153" t="s">
        <v>27</v>
      </c>
      <c r="D153" t="s">
        <v>33</v>
      </c>
      <c r="E153">
        <v>1894.95</v>
      </c>
      <c r="F153">
        <v>7</v>
      </c>
      <c r="G153" t="s">
        <v>186</v>
      </c>
    </row>
    <row r="154" spans="1:7" x14ac:dyDescent="0.25">
      <c r="A154" t="s">
        <v>14</v>
      </c>
      <c r="B154" t="s">
        <v>18</v>
      </c>
      <c r="C154" t="s">
        <v>27</v>
      </c>
      <c r="D154" t="s">
        <v>33</v>
      </c>
      <c r="G154" t="s">
        <v>187</v>
      </c>
    </row>
    <row r="155" spans="1:7" x14ac:dyDescent="0.25">
      <c r="A155" t="s">
        <v>14</v>
      </c>
      <c r="B155" t="s">
        <v>24</v>
      </c>
      <c r="C155" t="s">
        <v>28</v>
      </c>
      <c r="D155" t="s">
        <v>34</v>
      </c>
      <c r="G155" t="s">
        <v>188</v>
      </c>
    </row>
    <row r="156" spans="1:7" x14ac:dyDescent="0.25">
      <c r="A156" t="s">
        <v>9</v>
      </c>
      <c r="B156" t="s">
        <v>24</v>
      </c>
      <c r="C156" t="s">
        <v>28</v>
      </c>
      <c r="D156" t="s">
        <v>31</v>
      </c>
      <c r="E156">
        <v>432.09</v>
      </c>
      <c r="G156" t="s">
        <v>189</v>
      </c>
    </row>
    <row r="157" spans="1:7" x14ac:dyDescent="0.25">
      <c r="A157" t="s">
        <v>12</v>
      </c>
      <c r="B157" t="s">
        <v>17</v>
      </c>
      <c r="C157" t="s">
        <v>29</v>
      </c>
      <c r="D157" t="s">
        <v>31</v>
      </c>
      <c r="G157" t="s">
        <v>190</v>
      </c>
    </row>
    <row r="158" spans="1:7" x14ac:dyDescent="0.25">
      <c r="A158" t="s">
        <v>16</v>
      </c>
      <c r="B158" t="s">
        <v>24</v>
      </c>
      <c r="C158" t="s">
        <v>28</v>
      </c>
      <c r="D158" t="s">
        <v>30</v>
      </c>
      <c r="G158" t="s">
        <v>191</v>
      </c>
    </row>
    <row r="159" spans="1:7" x14ac:dyDescent="0.25">
      <c r="A159" t="s">
        <v>13</v>
      </c>
      <c r="B159" t="s">
        <v>24</v>
      </c>
      <c r="C159" t="s">
        <v>29</v>
      </c>
      <c r="D159" t="s">
        <v>34</v>
      </c>
      <c r="E159">
        <v>69.349999999999994</v>
      </c>
      <c r="F159">
        <v>8</v>
      </c>
      <c r="G159" t="s">
        <v>192</v>
      </c>
    </row>
    <row r="160" spans="1:7" x14ac:dyDescent="0.25">
      <c r="A160" t="s">
        <v>7</v>
      </c>
      <c r="B160" t="s">
        <v>18</v>
      </c>
      <c r="C160" t="s">
        <v>28</v>
      </c>
      <c r="D160" t="s">
        <v>34</v>
      </c>
      <c r="F160">
        <v>3</v>
      </c>
      <c r="G160" t="s">
        <v>193</v>
      </c>
    </row>
    <row r="161" spans="1:7" x14ac:dyDescent="0.25">
      <c r="A161" t="s">
        <v>7</v>
      </c>
      <c r="B161" t="s">
        <v>17</v>
      </c>
      <c r="C161" t="s">
        <v>27</v>
      </c>
      <c r="D161" t="s">
        <v>35</v>
      </c>
      <c r="E161">
        <v>1529.07</v>
      </c>
      <c r="G161" t="s">
        <v>194</v>
      </c>
    </row>
    <row r="162" spans="1:7" x14ac:dyDescent="0.25">
      <c r="A162" t="s">
        <v>15</v>
      </c>
      <c r="B162" t="s">
        <v>26</v>
      </c>
      <c r="C162" t="s">
        <v>28</v>
      </c>
      <c r="D162" t="s">
        <v>31</v>
      </c>
      <c r="F162">
        <v>10</v>
      </c>
      <c r="G162" t="s">
        <v>195</v>
      </c>
    </row>
    <row r="163" spans="1:7" x14ac:dyDescent="0.25">
      <c r="A163" t="s">
        <v>10</v>
      </c>
      <c r="B163" t="s">
        <v>26</v>
      </c>
      <c r="C163" t="s">
        <v>29</v>
      </c>
      <c r="D163" t="s">
        <v>35</v>
      </c>
      <c r="G163" t="s">
        <v>196</v>
      </c>
    </row>
    <row r="164" spans="1:7" x14ac:dyDescent="0.25">
      <c r="A164" t="s">
        <v>15</v>
      </c>
      <c r="B164" t="s">
        <v>17</v>
      </c>
      <c r="C164" t="s">
        <v>28</v>
      </c>
      <c r="D164" t="s">
        <v>31</v>
      </c>
      <c r="F164">
        <v>4</v>
      </c>
      <c r="G164" t="s">
        <v>197</v>
      </c>
    </row>
    <row r="165" spans="1:7" x14ac:dyDescent="0.25">
      <c r="A165" t="s">
        <v>12</v>
      </c>
      <c r="B165" t="s">
        <v>20</v>
      </c>
      <c r="C165" t="s">
        <v>28</v>
      </c>
      <c r="D165" t="s">
        <v>32</v>
      </c>
      <c r="G165" t="s">
        <v>198</v>
      </c>
    </row>
    <row r="166" spans="1:7" x14ac:dyDescent="0.25">
      <c r="A166" t="s">
        <v>14</v>
      </c>
      <c r="B166" t="s">
        <v>20</v>
      </c>
      <c r="C166" t="s">
        <v>28</v>
      </c>
      <c r="D166" t="s">
        <v>35</v>
      </c>
      <c r="F166">
        <v>6</v>
      </c>
      <c r="G166" t="s">
        <v>199</v>
      </c>
    </row>
    <row r="167" spans="1:7" x14ac:dyDescent="0.25">
      <c r="A167" t="s">
        <v>15</v>
      </c>
      <c r="B167" t="s">
        <v>21</v>
      </c>
      <c r="C167" t="s">
        <v>29</v>
      </c>
      <c r="D167" t="s">
        <v>31</v>
      </c>
      <c r="G167" t="s">
        <v>200</v>
      </c>
    </row>
    <row r="168" spans="1:7" x14ac:dyDescent="0.25">
      <c r="A168" t="s">
        <v>10</v>
      </c>
      <c r="B168" t="s">
        <v>18</v>
      </c>
      <c r="C168" t="s">
        <v>28</v>
      </c>
      <c r="D168" t="s">
        <v>31</v>
      </c>
      <c r="E168">
        <v>918.47</v>
      </c>
      <c r="G168" t="s">
        <v>201</v>
      </c>
    </row>
    <row r="169" spans="1:7" x14ac:dyDescent="0.25">
      <c r="A169" t="s">
        <v>9</v>
      </c>
      <c r="B169" t="s">
        <v>24</v>
      </c>
      <c r="C169" t="s">
        <v>28</v>
      </c>
      <c r="D169" t="s">
        <v>30</v>
      </c>
      <c r="E169">
        <v>1127.42</v>
      </c>
      <c r="G169" t="s">
        <v>202</v>
      </c>
    </row>
    <row r="170" spans="1:7" x14ac:dyDescent="0.25">
      <c r="A170" t="s">
        <v>7</v>
      </c>
      <c r="B170" t="s">
        <v>24</v>
      </c>
      <c r="C170" t="s">
        <v>27</v>
      </c>
      <c r="D170" t="s">
        <v>32</v>
      </c>
      <c r="F170">
        <v>9</v>
      </c>
      <c r="G170" t="s">
        <v>203</v>
      </c>
    </row>
    <row r="171" spans="1:7" x14ac:dyDescent="0.25">
      <c r="A171" t="s">
        <v>10</v>
      </c>
      <c r="B171" t="s">
        <v>20</v>
      </c>
      <c r="C171" t="s">
        <v>29</v>
      </c>
      <c r="D171" t="s">
        <v>33</v>
      </c>
      <c r="G171" t="s">
        <v>204</v>
      </c>
    </row>
    <row r="172" spans="1:7" x14ac:dyDescent="0.25">
      <c r="A172" t="s">
        <v>16</v>
      </c>
      <c r="B172" t="s">
        <v>25</v>
      </c>
      <c r="C172" t="s">
        <v>28</v>
      </c>
      <c r="D172" t="s">
        <v>33</v>
      </c>
      <c r="F172">
        <v>7</v>
      </c>
      <c r="G172" t="s">
        <v>205</v>
      </c>
    </row>
    <row r="173" spans="1:7" x14ac:dyDescent="0.25">
      <c r="A173" t="s">
        <v>7</v>
      </c>
      <c r="B173" t="s">
        <v>25</v>
      </c>
      <c r="C173" t="s">
        <v>28</v>
      </c>
      <c r="D173" t="s">
        <v>33</v>
      </c>
      <c r="F173">
        <v>9</v>
      </c>
      <c r="G173" t="s">
        <v>206</v>
      </c>
    </row>
    <row r="174" spans="1:7" x14ac:dyDescent="0.25">
      <c r="A174" t="s">
        <v>12</v>
      </c>
      <c r="B174" t="s">
        <v>20</v>
      </c>
      <c r="C174" t="s">
        <v>27</v>
      </c>
      <c r="D174" t="s">
        <v>34</v>
      </c>
      <c r="E174">
        <v>416.94</v>
      </c>
      <c r="G174" t="s">
        <v>207</v>
      </c>
    </row>
    <row r="175" spans="1:7" x14ac:dyDescent="0.25">
      <c r="A175" t="s">
        <v>14</v>
      </c>
      <c r="B175" t="s">
        <v>17</v>
      </c>
      <c r="C175" t="s">
        <v>29</v>
      </c>
      <c r="D175" t="s">
        <v>30</v>
      </c>
      <c r="G175" t="s">
        <v>208</v>
      </c>
    </row>
    <row r="176" spans="1:7" x14ac:dyDescent="0.25">
      <c r="A176" t="s">
        <v>9</v>
      </c>
      <c r="B176" t="s">
        <v>24</v>
      </c>
      <c r="C176" t="s">
        <v>29</v>
      </c>
      <c r="D176" t="s">
        <v>30</v>
      </c>
      <c r="F176">
        <v>1</v>
      </c>
      <c r="G176" t="s">
        <v>209</v>
      </c>
    </row>
    <row r="177" spans="1:7" x14ac:dyDescent="0.25">
      <c r="A177" t="s">
        <v>13</v>
      </c>
      <c r="B177" t="s">
        <v>18</v>
      </c>
      <c r="C177" t="s">
        <v>29</v>
      </c>
      <c r="D177" t="s">
        <v>32</v>
      </c>
      <c r="F177">
        <v>4</v>
      </c>
      <c r="G177" t="s">
        <v>210</v>
      </c>
    </row>
    <row r="178" spans="1:7" x14ac:dyDescent="0.25">
      <c r="A178" t="s">
        <v>10</v>
      </c>
      <c r="B178" t="s">
        <v>24</v>
      </c>
      <c r="C178" t="s">
        <v>29</v>
      </c>
      <c r="D178" t="s">
        <v>34</v>
      </c>
      <c r="G178" t="s">
        <v>211</v>
      </c>
    </row>
    <row r="179" spans="1:7" x14ac:dyDescent="0.25">
      <c r="A179" t="s">
        <v>9</v>
      </c>
      <c r="B179" t="s">
        <v>26</v>
      </c>
      <c r="C179" t="s">
        <v>29</v>
      </c>
      <c r="D179" t="s">
        <v>35</v>
      </c>
      <c r="E179">
        <v>966.79</v>
      </c>
      <c r="G179" t="s">
        <v>212</v>
      </c>
    </row>
    <row r="180" spans="1:7" x14ac:dyDescent="0.25">
      <c r="A180" t="s">
        <v>9</v>
      </c>
      <c r="B180" t="s">
        <v>19</v>
      </c>
      <c r="C180" t="s">
        <v>28</v>
      </c>
      <c r="D180" t="s">
        <v>34</v>
      </c>
      <c r="G180" t="s">
        <v>213</v>
      </c>
    </row>
    <row r="181" spans="1:7" x14ac:dyDescent="0.25">
      <c r="A181" t="s">
        <v>13</v>
      </c>
      <c r="B181" t="s">
        <v>22</v>
      </c>
      <c r="C181" t="s">
        <v>27</v>
      </c>
      <c r="D181" t="s">
        <v>34</v>
      </c>
      <c r="E181">
        <v>1478.16</v>
      </c>
      <c r="F181">
        <v>3</v>
      </c>
      <c r="G181" t="s">
        <v>214</v>
      </c>
    </row>
    <row r="182" spans="1:7" x14ac:dyDescent="0.25">
      <c r="A182" t="s">
        <v>16</v>
      </c>
      <c r="B182" t="s">
        <v>18</v>
      </c>
      <c r="C182" t="s">
        <v>28</v>
      </c>
      <c r="D182" t="s">
        <v>34</v>
      </c>
      <c r="E182">
        <v>1980.31</v>
      </c>
      <c r="F182">
        <v>1</v>
      </c>
      <c r="G182" t="s">
        <v>52</v>
      </c>
    </row>
    <row r="183" spans="1:7" x14ac:dyDescent="0.25">
      <c r="A183" t="s">
        <v>10</v>
      </c>
      <c r="B183" t="s">
        <v>19</v>
      </c>
      <c r="C183" t="s">
        <v>29</v>
      </c>
      <c r="D183" t="s">
        <v>32</v>
      </c>
      <c r="G183" t="s">
        <v>215</v>
      </c>
    </row>
    <row r="184" spans="1:7" x14ac:dyDescent="0.25">
      <c r="A184" t="s">
        <v>7</v>
      </c>
      <c r="B184" t="s">
        <v>20</v>
      </c>
      <c r="C184" t="s">
        <v>29</v>
      </c>
      <c r="D184" t="s">
        <v>30</v>
      </c>
      <c r="E184">
        <v>1831.78</v>
      </c>
      <c r="G184" t="s">
        <v>216</v>
      </c>
    </row>
    <row r="185" spans="1:7" x14ac:dyDescent="0.25">
      <c r="A185" t="s">
        <v>16</v>
      </c>
      <c r="B185" t="s">
        <v>26</v>
      </c>
      <c r="C185" t="s">
        <v>28</v>
      </c>
      <c r="D185" t="s">
        <v>32</v>
      </c>
      <c r="E185">
        <v>1211.67</v>
      </c>
      <c r="G185" t="s">
        <v>217</v>
      </c>
    </row>
    <row r="186" spans="1:7" x14ac:dyDescent="0.25">
      <c r="A186" t="s">
        <v>9</v>
      </c>
      <c r="B186" t="s">
        <v>26</v>
      </c>
      <c r="C186" t="s">
        <v>27</v>
      </c>
      <c r="D186" t="s">
        <v>32</v>
      </c>
      <c r="E186">
        <v>1656.16</v>
      </c>
      <c r="G186" t="s">
        <v>218</v>
      </c>
    </row>
    <row r="187" spans="1:7" x14ac:dyDescent="0.25">
      <c r="A187" t="s">
        <v>15</v>
      </c>
      <c r="B187" t="s">
        <v>20</v>
      </c>
      <c r="C187" t="s">
        <v>28</v>
      </c>
      <c r="D187" t="s">
        <v>32</v>
      </c>
      <c r="G187" t="s">
        <v>219</v>
      </c>
    </row>
    <row r="188" spans="1:7" x14ac:dyDescent="0.25">
      <c r="A188" t="s">
        <v>14</v>
      </c>
      <c r="B188" t="s">
        <v>24</v>
      </c>
      <c r="C188" t="s">
        <v>28</v>
      </c>
      <c r="D188" t="s">
        <v>35</v>
      </c>
      <c r="G188" t="s">
        <v>220</v>
      </c>
    </row>
    <row r="189" spans="1:7" x14ac:dyDescent="0.25">
      <c r="A189" t="s">
        <v>9</v>
      </c>
      <c r="B189" t="s">
        <v>24</v>
      </c>
      <c r="C189" t="s">
        <v>29</v>
      </c>
      <c r="D189" t="s">
        <v>30</v>
      </c>
      <c r="E189">
        <v>502.15</v>
      </c>
      <c r="F189">
        <v>6</v>
      </c>
      <c r="G189" t="s">
        <v>221</v>
      </c>
    </row>
    <row r="190" spans="1:7" x14ac:dyDescent="0.25">
      <c r="A190" t="s">
        <v>8</v>
      </c>
      <c r="B190" t="s">
        <v>18</v>
      </c>
      <c r="C190" t="s">
        <v>27</v>
      </c>
      <c r="D190" t="s">
        <v>32</v>
      </c>
      <c r="E190">
        <v>641.9</v>
      </c>
      <c r="G190" t="s">
        <v>222</v>
      </c>
    </row>
    <row r="191" spans="1:7" x14ac:dyDescent="0.25">
      <c r="A191" t="s">
        <v>7</v>
      </c>
      <c r="B191" t="s">
        <v>25</v>
      </c>
      <c r="C191" t="s">
        <v>29</v>
      </c>
      <c r="D191" t="s">
        <v>31</v>
      </c>
      <c r="E191">
        <v>328.81</v>
      </c>
      <c r="F191">
        <v>8</v>
      </c>
      <c r="G191" t="s">
        <v>223</v>
      </c>
    </row>
    <row r="192" spans="1:7" x14ac:dyDescent="0.25">
      <c r="A192" t="s">
        <v>10</v>
      </c>
      <c r="B192" t="s">
        <v>21</v>
      </c>
      <c r="C192" t="s">
        <v>27</v>
      </c>
      <c r="D192" t="s">
        <v>33</v>
      </c>
      <c r="F192">
        <v>7</v>
      </c>
      <c r="G192" t="s">
        <v>224</v>
      </c>
    </row>
    <row r="193" spans="1:7" x14ac:dyDescent="0.25">
      <c r="A193" t="s">
        <v>13</v>
      </c>
      <c r="B193" t="s">
        <v>18</v>
      </c>
      <c r="C193" t="s">
        <v>27</v>
      </c>
      <c r="D193" t="s">
        <v>32</v>
      </c>
      <c r="E193">
        <v>557.39</v>
      </c>
      <c r="G193" t="s">
        <v>225</v>
      </c>
    </row>
    <row r="194" spans="1:7" x14ac:dyDescent="0.25">
      <c r="A194" t="s">
        <v>13</v>
      </c>
      <c r="B194" t="s">
        <v>21</v>
      </c>
      <c r="C194" t="s">
        <v>28</v>
      </c>
      <c r="D194" t="s">
        <v>33</v>
      </c>
      <c r="E194">
        <v>711.2</v>
      </c>
      <c r="G194" t="s">
        <v>226</v>
      </c>
    </row>
    <row r="195" spans="1:7" x14ac:dyDescent="0.25">
      <c r="A195" t="s">
        <v>13</v>
      </c>
      <c r="B195" t="s">
        <v>23</v>
      </c>
      <c r="C195" t="s">
        <v>28</v>
      </c>
      <c r="D195" t="s">
        <v>32</v>
      </c>
      <c r="G195" t="s">
        <v>227</v>
      </c>
    </row>
    <row r="196" spans="1:7" x14ac:dyDescent="0.25">
      <c r="A196" t="s">
        <v>11</v>
      </c>
      <c r="B196" t="s">
        <v>24</v>
      </c>
      <c r="C196" t="s">
        <v>27</v>
      </c>
      <c r="D196" t="s">
        <v>30</v>
      </c>
      <c r="F196">
        <v>1</v>
      </c>
      <c r="G196" t="s">
        <v>228</v>
      </c>
    </row>
    <row r="197" spans="1:7" x14ac:dyDescent="0.25">
      <c r="A197" t="s">
        <v>16</v>
      </c>
      <c r="B197" t="s">
        <v>19</v>
      </c>
      <c r="C197" t="s">
        <v>28</v>
      </c>
      <c r="D197" t="s">
        <v>31</v>
      </c>
      <c r="G197" t="s">
        <v>229</v>
      </c>
    </row>
    <row r="198" spans="1:7" x14ac:dyDescent="0.25">
      <c r="A198" t="s">
        <v>11</v>
      </c>
      <c r="B198" t="s">
        <v>17</v>
      </c>
      <c r="C198" t="s">
        <v>29</v>
      </c>
      <c r="D198" t="s">
        <v>35</v>
      </c>
      <c r="G198" t="s">
        <v>230</v>
      </c>
    </row>
    <row r="199" spans="1:7" x14ac:dyDescent="0.25">
      <c r="A199" t="s">
        <v>12</v>
      </c>
      <c r="B199" t="s">
        <v>21</v>
      </c>
      <c r="C199" t="s">
        <v>29</v>
      </c>
      <c r="D199" t="s">
        <v>31</v>
      </c>
      <c r="E199">
        <v>1407.22</v>
      </c>
      <c r="G199" t="s">
        <v>231</v>
      </c>
    </row>
    <row r="200" spans="1:7" x14ac:dyDescent="0.25">
      <c r="A200" t="s">
        <v>12</v>
      </c>
      <c r="B200" t="s">
        <v>21</v>
      </c>
      <c r="C200" t="s">
        <v>27</v>
      </c>
      <c r="D200" t="s">
        <v>32</v>
      </c>
      <c r="G200" t="s">
        <v>232</v>
      </c>
    </row>
    <row r="201" spans="1:7" x14ac:dyDescent="0.25">
      <c r="A201" t="s">
        <v>9</v>
      </c>
      <c r="B201" t="s">
        <v>20</v>
      </c>
      <c r="C201" t="s">
        <v>28</v>
      </c>
      <c r="D201" t="s">
        <v>35</v>
      </c>
      <c r="E201">
        <v>1364.66</v>
      </c>
      <c r="G201" t="s">
        <v>233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0B277-3569-46FA-A56A-4B01A5895201}">
  <dimension ref="A1:J20"/>
  <sheetViews>
    <sheetView tabSelected="1" workbookViewId="0">
      <selection activeCell="L17" sqref="L17"/>
    </sheetView>
  </sheetViews>
  <sheetFormatPr defaultRowHeight="15" x14ac:dyDescent="0.25"/>
  <cols>
    <col min="1" max="1" width="17.42578125" customWidth="1"/>
    <col min="2" max="2" width="17.140625" customWidth="1"/>
    <col min="3" max="3" width="17.28515625" customWidth="1"/>
    <col min="4" max="4" width="19.7109375" customWidth="1"/>
    <col min="5" max="5" width="14.140625" customWidth="1"/>
    <col min="6" max="7" width="14.85546875" customWidth="1"/>
    <col min="8" max="8" width="20.85546875" customWidth="1"/>
  </cols>
  <sheetData>
    <row r="1" spans="1:10" x14ac:dyDescent="0.25">
      <c r="A1" s="1" t="s">
        <v>0</v>
      </c>
      <c r="B1" s="1" t="s">
        <v>1</v>
      </c>
      <c r="C1" s="1" t="s">
        <v>2</v>
      </c>
      <c r="D1" s="1" t="s">
        <v>3</v>
      </c>
      <c r="E1" s="1" t="s">
        <v>4</v>
      </c>
      <c r="F1" s="1" t="s">
        <v>5</v>
      </c>
      <c r="G1" s="1" t="s">
        <v>235</v>
      </c>
      <c r="H1" s="4" t="s">
        <v>6</v>
      </c>
      <c r="J1" s="2" t="s">
        <v>234</v>
      </c>
    </row>
    <row r="2" spans="1:10" x14ac:dyDescent="0.25">
      <c r="A2" t="s">
        <v>13</v>
      </c>
      <c r="B2" t="s">
        <v>26</v>
      </c>
      <c r="C2" t="s">
        <v>27</v>
      </c>
      <c r="D2" t="s">
        <v>30</v>
      </c>
      <c r="E2">
        <v>1987.97</v>
      </c>
      <c r="F2">
        <v>10</v>
      </c>
      <c r="G2">
        <f>E2*F2</f>
        <v>19879.7</v>
      </c>
      <c r="H2" s="5">
        <v>45044</v>
      </c>
    </row>
    <row r="3" spans="1:10" x14ac:dyDescent="0.25">
      <c r="A3" t="s">
        <v>9</v>
      </c>
      <c r="B3" t="s">
        <v>17</v>
      </c>
      <c r="C3" t="s">
        <v>27</v>
      </c>
      <c r="D3" t="s">
        <v>35</v>
      </c>
      <c r="E3">
        <v>1979.39</v>
      </c>
      <c r="F3">
        <v>8</v>
      </c>
      <c r="G3">
        <f>E3*F3</f>
        <v>15835.12</v>
      </c>
      <c r="H3" s="5">
        <v>44646</v>
      </c>
    </row>
    <row r="4" spans="1:10" x14ac:dyDescent="0.25">
      <c r="A4" t="s">
        <v>15</v>
      </c>
      <c r="B4" t="s">
        <v>23</v>
      </c>
      <c r="C4" t="s">
        <v>28</v>
      </c>
      <c r="D4" t="s">
        <v>32</v>
      </c>
      <c r="E4">
        <v>1894.95</v>
      </c>
      <c r="F4">
        <v>7</v>
      </c>
      <c r="G4">
        <f>E4*F4</f>
        <v>13264.65</v>
      </c>
      <c r="H4" s="5">
        <v>44749</v>
      </c>
    </row>
    <row r="5" spans="1:10" x14ac:dyDescent="0.25">
      <c r="A5" t="s">
        <v>13</v>
      </c>
      <c r="B5" t="s">
        <v>23</v>
      </c>
      <c r="C5" t="s">
        <v>28</v>
      </c>
      <c r="D5" t="s">
        <v>35</v>
      </c>
      <c r="E5">
        <v>726.15</v>
      </c>
      <c r="F5">
        <v>10</v>
      </c>
      <c r="G5">
        <f>E5*F5</f>
        <v>7261.5</v>
      </c>
      <c r="H5" s="5">
        <v>44598</v>
      </c>
    </row>
    <row r="6" spans="1:10" x14ac:dyDescent="0.25">
      <c r="A6" t="s">
        <v>9</v>
      </c>
      <c r="B6" t="s">
        <v>18</v>
      </c>
      <c r="C6" t="s">
        <v>27</v>
      </c>
      <c r="D6" t="s">
        <v>32</v>
      </c>
      <c r="E6">
        <v>1357.32</v>
      </c>
      <c r="F6">
        <v>5</v>
      </c>
      <c r="G6">
        <f>E6*F6</f>
        <v>6786.5999999999995</v>
      </c>
      <c r="H6" s="5">
        <v>44686</v>
      </c>
    </row>
    <row r="7" spans="1:10" x14ac:dyDescent="0.25">
      <c r="A7" t="s">
        <v>16</v>
      </c>
      <c r="B7" t="s">
        <v>24</v>
      </c>
      <c r="C7" t="s">
        <v>29</v>
      </c>
      <c r="D7" t="s">
        <v>31</v>
      </c>
      <c r="E7">
        <v>968.33</v>
      </c>
      <c r="F7">
        <v>7</v>
      </c>
      <c r="G7">
        <f>E7*F7</f>
        <v>6778.31</v>
      </c>
      <c r="H7" s="5">
        <v>44937</v>
      </c>
    </row>
    <row r="8" spans="1:10" x14ac:dyDescent="0.25">
      <c r="A8" t="s">
        <v>8</v>
      </c>
      <c r="B8" t="s">
        <v>23</v>
      </c>
      <c r="C8" t="s">
        <v>28</v>
      </c>
      <c r="D8" t="s">
        <v>31</v>
      </c>
      <c r="E8">
        <v>867.78</v>
      </c>
      <c r="F8">
        <v>6</v>
      </c>
      <c r="G8">
        <f>E8*F8</f>
        <v>5206.68</v>
      </c>
      <c r="H8" s="5">
        <v>45328</v>
      </c>
      <c r="I8" s="3"/>
    </row>
    <row r="9" spans="1:10" x14ac:dyDescent="0.25">
      <c r="A9" t="s">
        <v>13</v>
      </c>
      <c r="B9" t="s">
        <v>22</v>
      </c>
      <c r="C9" t="s">
        <v>27</v>
      </c>
      <c r="D9" t="s">
        <v>31</v>
      </c>
      <c r="E9">
        <v>1478.16</v>
      </c>
      <c r="F9">
        <v>3</v>
      </c>
      <c r="G9">
        <f>E9*F9</f>
        <v>4434.4800000000005</v>
      </c>
      <c r="H9" s="5">
        <v>45247</v>
      </c>
    </row>
    <row r="10" spans="1:10" x14ac:dyDescent="0.25">
      <c r="A10" t="s">
        <v>9</v>
      </c>
      <c r="B10" t="s">
        <v>23</v>
      </c>
      <c r="C10" t="s">
        <v>28</v>
      </c>
      <c r="D10" t="s">
        <v>31</v>
      </c>
      <c r="E10">
        <v>1040.98</v>
      </c>
      <c r="F10">
        <v>4</v>
      </c>
      <c r="G10">
        <f>E10*F10</f>
        <v>4163.92</v>
      </c>
      <c r="H10" s="5">
        <v>44844</v>
      </c>
    </row>
    <row r="11" spans="1:10" x14ac:dyDescent="0.25">
      <c r="A11" t="s">
        <v>8</v>
      </c>
      <c r="B11" t="s">
        <v>22</v>
      </c>
      <c r="C11" t="s">
        <v>27</v>
      </c>
      <c r="D11" t="s">
        <v>35</v>
      </c>
      <c r="E11">
        <v>444.73</v>
      </c>
      <c r="F11">
        <v>7</v>
      </c>
      <c r="G11">
        <f>E11*F11</f>
        <v>3113.11</v>
      </c>
      <c r="H11" s="5">
        <v>44964</v>
      </c>
    </row>
    <row r="12" spans="1:10" x14ac:dyDescent="0.25">
      <c r="A12" t="s">
        <v>9</v>
      </c>
      <c r="B12" t="s">
        <v>24</v>
      </c>
      <c r="C12" t="s">
        <v>29</v>
      </c>
      <c r="D12" t="s">
        <v>30</v>
      </c>
      <c r="E12">
        <v>502.15</v>
      </c>
      <c r="F12">
        <v>6</v>
      </c>
      <c r="G12">
        <f>E12*F12</f>
        <v>3012.8999999999996</v>
      </c>
      <c r="H12" s="5">
        <v>44576</v>
      </c>
    </row>
    <row r="13" spans="1:10" x14ac:dyDescent="0.25">
      <c r="A13" t="s">
        <v>10</v>
      </c>
      <c r="B13" t="s">
        <v>23</v>
      </c>
      <c r="C13" t="s">
        <v>28</v>
      </c>
      <c r="D13" t="s">
        <v>30</v>
      </c>
      <c r="E13">
        <v>599.04999999999995</v>
      </c>
      <c r="F13">
        <v>5</v>
      </c>
      <c r="G13">
        <f>E13*F13</f>
        <v>2995.25</v>
      </c>
      <c r="H13" s="5">
        <v>44678</v>
      </c>
    </row>
    <row r="14" spans="1:10" x14ac:dyDescent="0.25">
      <c r="A14" t="s">
        <v>7</v>
      </c>
      <c r="B14" t="s">
        <v>25</v>
      </c>
      <c r="C14" t="s">
        <v>27</v>
      </c>
      <c r="D14" t="s">
        <v>31</v>
      </c>
      <c r="E14">
        <v>328.81</v>
      </c>
      <c r="F14">
        <v>8</v>
      </c>
      <c r="G14">
        <f>E14*F14</f>
        <v>2630.48</v>
      </c>
      <c r="H14" s="5">
        <v>44579</v>
      </c>
    </row>
    <row r="15" spans="1:10" x14ac:dyDescent="0.25">
      <c r="A15" t="s">
        <v>8</v>
      </c>
      <c r="B15" t="s">
        <v>24</v>
      </c>
      <c r="C15" t="s">
        <v>29</v>
      </c>
      <c r="D15" t="s">
        <v>30</v>
      </c>
      <c r="E15">
        <v>1122.68</v>
      </c>
      <c r="F15">
        <v>2</v>
      </c>
      <c r="G15">
        <f>E15*F15</f>
        <v>2245.36</v>
      </c>
      <c r="H15" s="5">
        <v>44873</v>
      </c>
    </row>
    <row r="16" spans="1:10" x14ac:dyDescent="0.25">
      <c r="A16" t="s">
        <v>12</v>
      </c>
      <c r="B16" t="s">
        <v>26</v>
      </c>
      <c r="C16" t="s">
        <v>27</v>
      </c>
      <c r="D16" t="s">
        <v>31</v>
      </c>
      <c r="E16">
        <v>298.58999999999997</v>
      </c>
      <c r="F16">
        <v>7</v>
      </c>
      <c r="G16">
        <f>E16*F16</f>
        <v>2090.1299999999997</v>
      </c>
      <c r="H16" s="5">
        <v>45135</v>
      </c>
    </row>
    <row r="17" spans="1:8" x14ac:dyDescent="0.25">
      <c r="A17" t="s">
        <v>16</v>
      </c>
      <c r="B17" t="s">
        <v>18</v>
      </c>
      <c r="C17" t="s">
        <v>27</v>
      </c>
      <c r="D17" t="s">
        <v>31</v>
      </c>
      <c r="E17">
        <v>1980.31</v>
      </c>
      <c r="F17">
        <v>1</v>
      </c>
      <c r="G17">
        <f>E17*F17</f>
        <v>1980.31</v>
      </c>
      <c r="H17" s="5">
        <v>44923</v>
      </c>
    </row>
    <row r="18" spans="1:8" x14ac:dyDescent="0.25">
      <c r="A18" t="s">
        <v>12</v>
      </c>
      <c r="B18" t="s">
        <v>20</v>
      </c>
      <c r="C18" t="s">
        <v>27</v>
      </c>
      <c r="D18" t="s">
        <v>31</v>
      </c>
      <c r="E18">
        <v>1652.82</v>
      </c>
      <c r="F18">
        <v>1</v>
      </c>
      <c r="G18">
        <f>E18*F18</f>
        <v>1652.82</v>
      </c>
      <c r="H18" s="5">
        <v>45270</v>
      </c>
    </row>
    <row r="19" spans="1:8" x14ac:dyDescent="0.25">
      <c r="A19" t="s">
        <v>8</v>
      </c>
      <c r="B19" t="s">
        <v>23</v>
      </c>
      <c r="C19" t="s">
        <v>28</v>
      </c>
      <c r="D19" t="s">
        <v>30</v>
      </c>
      <c r="E19">
        <v>111.65</v>
      </c>
      <c r="F19">
        <v>10</v>
      </c>
      <c r="G19">
        <f>E19*F19</f>
        <v>1116.5</v>
      </c>
      <c r="H19" s="5">
        <v>45045</v>
      </c>
    </row>
    <row r="20" spans="1:8" x14ac:dyDescent="0.25">
      <c r="A20" t="s">
        <v>13</v>
      </c>
      <c r="B20" t="s">
        <v>24</v>
      </c>
      <c r="C20" t="s">
        <v>29</v>
      </c>
      <c r="D20" t="s">
        <v>31</v>
      </c>
      <c r="E20">
        <v>69.349999999999994</v>
      </c>
      <c r="F20">
        <v>8</v>
      </c>
      <c r="G20">
        <f>E20*F20</f>
        <v>554.79999999999995</v>
      </c>
      <c r="H20" s="5">
        <v>44670</v>
      </c>
    </row>
  </sheetData>
  <autoFilter ref="A1:H20" xr:uid="{4BB7D1F9-DFCA-43D6-B69F-3D53367EDE72}">
    <sortState ref="A2:H20">
      <sortCondition descending="1" ref="G4"/>
    </sortState>
  </autoFilter>
  <sortState ref="A2:H20">
    <sortCondition ref="B2:B20"/>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A6374-A23C-4A78-B4EE-40DD494EEE58}">
  <dimension ref="A1:B48"/>
  <sheetViews>
    <sheetView topLeftCell="A38" zoomScaleNormal="100" workbookViewId="0">
      <selection activeCell="B32" sqref="B32"/>
    </sheetView>
  </sheetViews>
  <sheetFormatPr defaultRowHeight="15" x14ac:dyDescent="0.25"/>
  <cols>
    <col min="1" max="1" width="13.140625" bestFit="1" customWidth="1"/>
    <col min="2" max="2" width="17.28515625" bestFit="1" customWidth="1"/>
  </cols>
  <sheetData>
    <row r="1" spans="1:2" x14ac:dyDescent="0.25">
      <c r="A1" s="6" t="s">
        <v>236</v>
      </c>
      <c r="B1" t="s">
        <v>238</v>
      </c>
    </row>
    <row r="2" spans="1:2" x14ac:dyDescent="0.25">
      <c r="A2" s="7" t="s">
        <v>27</v>
      </c>
      <c r="B2" s="9">
        <v>11508.1</v>
      </c>
    </row>
    <row r="3" spans="1:2" x14ac:dyDescent="0.25">
      <c r="A3" s="7" t="s">
        <v>28</v>
      </c>
      <c r="B3" s="9">
        <v>5240.5600000000004</v>
      </c>
    </row>
    <row r="4" spans="1:2" x14ac:dyDescent="0.25">
      <c r="A4" s="7" t="s">
        <v>29</v>
      </c>
      <c r="B4" s="9">
        <v>2662.5099999999998</v>
      </c>
    </row>
    <row r="5" spans="1:2" x14ac:dyDescent="0.25">
      <c r="A5" s="7" t="s">
        <v>237</v>
      </c>
      <c r="B5" s="9">
        <v>19411.170000000002</v>
      </c>
    </row>
    <row r="18" spans="1:2" x14ac:dyDescent="0.25">
      <c r="A18" s="6" t="s">
        <v>236</v>
      </c>
      <c r="B18" t="s">
        <v>239</v>
      </c>
    </row>
    <row r="19" spans="1:2" x14ac:dyDescent="0.25">
      <c r="A19" s="7" t="s">
        <v>30</v>
      </c>
      <c r="B19" s="9">
        <v>29249.71</v>
      </c>
    </row>
    <row r="20" spans="1:2" x14ac:dyDescent="0.25">
      <c r="A20" s="7" t="s">
        <v>35</v>
      </c>
      <c r="B20" s="9">
        <v>26209.730000000003</v>
      </c>
    </row>
    <row r="21" spans="1:2" x14ac:dyDescent="0.25">
      <c r="A21" s="7" t="s">
        <v>32</v>
      </c>
      <c r="B21" s="9">
        <v>20051.25</v>
      </c>
    </row>
    <row r="22" spans="1:2" x14ac:dyDescent="0.25">
      <c r="A22" s="7" t="s">
        <v>31</v>
      </c>
      <c r="B22" s="9">
        <v>29491.93</v>
      </c>
    </row>
    <row r="23" spans="1:2" x14ac:dyDescent="0.25">
      <c r="A23" s="7" t="s">
        <v>237</v>
      </c>
      <c r="B23" s="9">
        <v>105002.62</v>
      </c>
    </row>
    <row r="31" spans="1:2" x14ac:dyDescent="0.25">
      <c r="A31" s="6" t="s">
        <v>236</v>
      </c>
      <c r="B31" t="s">
        <v>240</v>
      </c>
    </row>
    <row r="32" spans="1:2" x14ac:dyDescent="0.25">
      <c r="A32" s="7" t="s">
        <v>23</v>
      </c>
      <c r="B32" s="8">
        <v>42</v>
      </c>
    </row>
    <row r="33" spans="1:2" x14ac:dyDescent="0.25">
      <c r="A33" s="7" t="s">
        <v>24</v>
      </c>
      <c r="B33" s="8">
        <v>23</v>
      </c>
    </row>
    <row r="34" spans="1:2" x14ac:dyDescent="0.25">
      <c r="A34" s="7" t="s">
        <v>26</v>
      </c>
      <c r="B34" s="8">
        <v>17</v>
      </c>
    </row>
    <row r="35" spans="1:2" x14ac:dyDescent="0.25">
      <c r="A35" s="7" t="s">
        <v>22</v>
      </c>
      <c r="B35" s="8">
        <v>10</v>
      </c>
    </row>
    <row r="36" spans="1:2" x14ac:dyDescent="0.25">
      <c r="A36" s="7" t="s">
        <v>17</v>
      </c>
      <c r="B36" s="8">
        <v>8</v>
      </c>
    </row>
    <row r="37" spans="1:2" x14ac:dyDescent="0.25">
      <c r="A37" s="7" t="s">
        <v>25</v>
      </c>
      <c r="B37" s="8">
        <v>8</v>
      </c>
    </row>
    <row r="38" spans="1:2" x14ac:dyDescent="0.25">
      <c r="A38" s="7" t="s">
        <v>18</v>
      </c>
      <c r="B38" s="8">
        <v>6</v>
      </c>
    </row>
    <row r="39" spans="1:2" x14ac:dyDescent="0.25">
      <c r="A39" s="7" t="s">
        <v>20</v>
      </c>
      <c r="B39" s="8">
        <v>1</v>
      </c>
    </row>
    <row r="40" spans="1:2" x14ac:dyDescent="0.25">
      <c r="A40" s="7" t="s">
        <v>237</v>
      </c>
      <c r="B40" s="8">
        <v>115</v>
      </c>
    </row>
    <row r="44" spans="1:2" x14ac:dyDescent="0.25">
      <c r="A44" s="6" t="s">
        <v>236</v>
      </c>
      <c r="B44" t="s">
        <v>239</v>
      </c>
    </row>
    <row r="45" spans="1:2" x14ac:dyDescent="0.25">
      <c r="A45" s="7" t="s">
        <v>241</v>
      </c>
      <c r="B45" s="8">
        <v>60730.890000000007</v>
      </c>
    </row>
    <row r="46" spans="1:2" x14ac:dyDescent="0.25">
      <c r="A46" s="7" t="s">
        <v>242</v>
      </c>
      <c r="B46" s="8">
        <v>39065.049999999996</v>
      </c>
    </row>
    <row r="47" spans="1:2" x14ac:dyDescent="0.25">
      <c r="A47" s="7" t="s">
        <v>243</v>
      </c>
      <c r="B47" s="8">
        <v>5206.68</v>
      </c>
    </row>
    <row r="48" spans="1:2" x14ac:dyDescent="0.25">
      <c r="A48" s="7" t="s">
        <v>237</v>
      </c>
      <c r="B48" s="8">
        <v>105002.62</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6E06C-BB13-418A-8B8B-8E211342AE19}">
  <dimension ref="A1:R7"/>
  <sheetViews>
    <sheetView showGridLines="0" zoomScale="75" zoomScaleNormal="75" workbookViewId="0">
      <selection activeCell="W18" sqref="W18"/>
    </sheetView>
  </sheetViews>
  <sheetFormatPr defaultRowHeight="15" x14ac:dyDescent="0.25"/>
  <sheetData>
    <row r="1" spans="1:18" x14ac:dyDescent="0.25">
      <c r="A1" s="13" t="s">
        <v>244</v>
      </c>
      <c r="B1" s="10"/>
      <c r="C1" s="10"/>
      <c r="D1" s="10"/>
      <c r="E1" s="10"/>
      <c r="F1" s="10"/>
      <c r="G1" s="10"/>
      <c r="H1" s="10"/>
      <c r="I1" s="10"/>
      <c r="J1" s="10"/>
      <c r="K1" s="10"/>
      <c r="L1" s="10"/>
      <c r="M1" s="10"/>
      <c r="N1" s="10"/>
      <c r="O1" s="10"/>
      <c r="P1" s="10"/>
      <c r="Q1" s="10"/>
      <c r="R1" s="10"/>
    </row>
    <row r="2" spans="1:18" x14ac:dyDescent="0.25">
      <c r="A2" s="10"/>
      <c r="B2" s="10"/>
      <c r="C2" s="10"/>
      <c r="D2" s="10"/>
      <c r="E2" s="10"/>
      <c r="F2" s="10"/>
      <c r="G2" s="10"/>
      <c r="H2" s="10"/>
      <c r="I2" s="10"/>
      <c r="J2" s="10"/>
      <c r="K2" s="10"/>
      <c r="L2" s="10"/>
      <c r="M2" s="10"/>
      <c r="N2" s="10"/>
      <c r="O2" s="10"/>
      <c r="P2" s="10"/>
      <c r="Q2" s="10"/>
      <c r="R2" s="10"/>
    </row>
    <row r="3" spans="1:18" x14ac:dyDescent="0.25">
      <c r="A3" s="10"/>
      <c r="B3" s="10"/>
      <c r="C3" s="10"/>
      <c r="D3" s="10"/>
      <c r="E3" s="10"/>
      <c r="F3" s="10"/>
      <c r="G3" s="10"/>
      <c r="H3" s="10"/>
      <c r="I3" s="10"/>
      <c r="J3" s="10"/>
      <c r="K3" s="10"/>
      <c r="L3" s="10"/>
      <c r="M3" s="10"/>
      <c r="N3" s="10"/>
      <c r="O3" s="10"/>
      <c r="P3" s="10"/>
      <c r="Q3" s="10"/>
      <c r="R3" s="10"/>
    </row>
    <row r="6" spans="1:18" x14ac:dyDescent="0.25">
      <c r="H6" s="11"/>
    </row>
    <row r="7" spans="1:18" x14ac:dyDescent="0.25">
      <c r="F7" s="12"/>
    </row>
  </sheetData>
  <mergeCells count="1">
    <mergeCell ref="A1:R3"/>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Messy data</vt:lpstr>
      <vt:lpstr>Clean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HP</cp:lastModifiedBy>
  <dcterms:created xsi:type="dcterms:W3CDTF">2026-04-28T08:46:07Z</dcterms:created>
  <dcterms:modified xsi:type="dcterms:W3CDTF">2026-05-14T08:59:32Z</dcterms:modified>
</cp:coreProperties>
</file>